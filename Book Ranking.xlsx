
<file path=[Content_Types].xml><?xml version="1.0" encoding="utf-8"?>
<Types xmlns="http://schemas.openxmlformats.org/package/2006/content-types">
  <Override PartName="/xl/drawings/drawing2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read" sheetId="1" state="visible" r:id="rId2"/>
    <sheet name="Read" sheetId="2" state="visible" r:id="rId3"/>
    <sheet name="Dropdown" sheetId="3" state="visible" r:id="rId4"/>
  </sheets>
  <definedNames>
    <definedName function="false" hidden="true" localSheetId="1" name="_xlnm._FilterDatabase" vbProcedure="false">Read!$A$2:$E$131</definedName>
    <definedName function="false" hidden="true" localSheetId="0" name="_xlnm._FilterDatabase" vbProcedure="false">Unread!$A$2:$H$231</definedName>
    <definedName function="false" hidden="false" name="Book" vbProcedure="false">Unread!$A$2:$H$142</definedName>
    <definedName function="false" hidden="false" name="Media" vbProcedure="false">Dropdown!$C$2:$C$7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<sst xmlns="http://schemas.openxmlformats.org/spreadsheetml/2006/main" count="483" uniqueCount="165">
  <si>
    <t xml:space="preserve">Book Ranking</t>
  </si>
  <si>
    <t xml:space="preserve">Title</t>
  </si>
  <si>
    <t xml:space="preserve">Potential</t>
  </si>
  <si>
    <t xml:space="preserve">In Trello</t>
  </si>
  <si>
    <t xml:space="preserve">Media</t>
  </si>
  <si>
    <t xml:space="preserve">Value</t>
  </si>
  <si>
    <t xml:space="preserve">Page Numbers</t>
  </si>
  <si>
    <t xml:space="preserve">Result</t>
  </si>
  <si>
    <t xml:space="preserve">Read</t>
  </si>
  <si>
    <t xml:space="preserve">The Rubaiyat</t>
  </si>
  <si>
    <t xml:space="preserve">Yes</t>
  </si>
  <si>
    <t xml:space="preserve">World War I at Home</t>
  </si>
  <si>
    <t xml:space="preserve">No</t>
  </si>
  <si>
    <t xml:space="preserve">World War I (Baldwin)</t>
  </si>
  <si>
    <t xml:space="preserve">Cavalry of the Clouds</t>
  </si>
  <si>
    <t xml:space="preserve">Undertones of War</t>
  </si>
  <si>
    <t xml:space="preserve">Sinking of the Titanic</t>
  </si>
  <si>
    <t xml:space="preserve">History of the World War (March)</t>
  </si>
  <si>
    <t xml:space="preserve">World War for Humanity</t>
  </si>
  <si>
    <t xml:space="preserve">School for Soldiers</t>
  </si>
  <si>
    <t xml:space="preserve">The First World War (Strachan)</t>
  </si>
  <si>
    <t xml:space="preserve">Soldier from the Wars Returning (Carrington)</t>
  </si>
  <si>
    <t xml:space="preserve">Randomness and Mathematical Proof (Report)</t>
  </si>
  <si>
    <t xml:space="preserve">Enhancing our Grasp of Complex Arguments (Paper)</t>
  </si>
  <si>
    <t xml:space="preserve">Online Article</t>
  </si>
  <si>
    <t xml:space="preserve">Algorithmic Accountability: On the Investigation of Black Boxes</t>
  </si>
  <si>
    <t xml:space="preserve">Algorithmic bias (W)</t>
  </si>
  <si>
    <t xml:space="preserve">Wikipedia</t>
  </si>
  <si>
    <t xml:space="preserve">The Waste Land: Poem</t>
  </si>
  <si>
    <t xml:space="preserve">Online Text</t>
  </si>
  <si>
    <t xml:space="preserve">Zoar (Pamphlet)</t>
  </si>
  <si>
    <t xml:space="preserve">Wisdom and the Context of Knowledge: Knowing that One Doesn't Know: Meacham (Report)</t>
  </si>
  <si>
    <t xml:space="preserve">Dhammapada</t>
  </si>
  <si>
    <t xml:space="preserve">Self-organised criticality-what it is and what it isn't (Report)</t>
  </si>
  <si>
    <t xml:space="preserve">Research Paper</t>
  </si>
  <si>
    <t xml:space="preserve">Power laws, Pareto distributinos and Zipf's Law (Report)</t>
  </si>
  <si>
    <t xml:space="preserve">On the Decay of the Art of Lying  </t>
  </si>
  <si>
    <t xml:space="preserve">y</t>
  </si>
  <si>
    <t xml:space="preserve">Book</t>
  </si>
  <si>
    <t xml:space="preserve">A Mathematica Theory of Communication: CE Shannon (Report)</t>
  </si>
  <si>
    <t xml:space="preserve">Guerilla Warfare Mao</t>
  </si>
  <si>
    <t xml:space="preserve">Thermodynamics</t>
  </si>
  <si>
    <t xml:space="preserve">Campaigns of General Custer</t>
  </si>
  <si>
    <t xml:space="preserve">A Monk's Guide to a Clean House</t>
  </si>
  <si>
    <t xml:space="preserve">Maneuver Warfare Handbook</t>
  </si>
  <si>
    <t xml:space="preserve">Drop the Rock: Removing Character Defects - Steps Six and Seven  </t>
  </si>
  <si>
    <t xml:space="preserve">The Parent's Tao Te Ching</t>
  </si>
  <si>
    <t xml:space="preserve">The Gnosis of the Light  </t>
  </si>
  <si>
    <t xml:space="preserve">The Elements of Zen</t>
  </si>
  <si>
    <t xml:space="preserve">Impeachment: A Citizen's Guide</t>
  </si>
  <si>
    <t xml:space="preserve">On Tyranny: Twenty Lessons From the Twentieth Century  </t>
  </si>
  <si>
    <t xml:space="preserve">Advice Not Given: A Guide for Getting Over Yourself</t>
  </si>
  <si>
    <t xml:space="preserve">Left of Bang: How the Marine Corps' Combat Hunter Program Can Save Your Life  </t>
  </si>
  <si>
    <t xml:space="preserve">Markings (Dag)</t>
  </si>
  <si>
    <t xml:space="preserve">Simplicity: The Freedom of Letting Go  </t>
  </si>
  <si>
    <t xml:space="preserve">Dr. Seuss: American Icon</t>
  </si>
  <si>
    <t xml:space="preserve">Promise me Dad</t>
  </si>
  <si>
    <t xml:space="preserve">Norman Rockwell: A Sixty Year Retrospective</t>
  </si>
  <si>
    <t xml:space="preserve">The Wisdom of Insecurity  </t>
  </si>
  <si>
    <t xml:space="preserve">The Obstacle Is the Way: The Timeless Art of Turning Trials Into Triumph  </t>
  </si>
  <si>
    <t xml:space="preserve">Flight of the Wild Gander</t>
  </si>
  <si>
    <t xml:space="preserve">Sprint: How to Solve Big Problems and Test New Ideas in Just Five Days  </t>
  </si>
  <si>
    <t xml:space="preserve">Buddhism: An Introduction and Guide</t>
  </si>
  <si>
    <t xml:space="preserve">The Ransom of Russian Art</t>
  </si>
  <si>
    <t xml:space="preserve">The Gnostic Gospels.</t>
  </si>
  <si>
    <t xml:space="preserve">Tao of Jeet Kune Do</t>
  </si>
  <si>
    <t xml:space="preserve">God: A Human History</t>
  </si>
  <si>
    <t xml:space="preserve">Myths to Live By</t>
  </si>
  <si>
    <t xml:space="preserve">Why Buddhism Is True: The Science and Philosophy of Meditation and Enlightenment  </t>
  </si>
  <si>
    <t xml:space="preserve">Mooney</t>
  </si>
  <si>
    <t xml:space="preserve">Letters from a Stoic</t>
  </si>
  <si>
    <t xml:space="preserve">Probably Approximately Correct: Nature's Algorithms for Learning and Prospering in a Complex World  </t>
  </si>
  <si>
    <t xml:space="preserve">The Penguin Guide to the United States Constitution</t>
  </si>
  <si>
    <t xml:space="preserve">Rifleman Dodd</t>
  </si>
  <si>
    <t xml:space="preserve">The Thirteenth Turn: A History of the Noose</t>
  </si>
  <si>
    <t xml:space="preserve">Managing the Unexpected</t>
  </si>
  <si>
    <t xml:space="preserve">How We Decide  </t>
  </si>
  <si>
    <t xml:space="preserve">Finite and Infinite Games</t>
  </si>
  <si>
    <t xml:space="preserve">Complex Organizations (Charles Perrow)</t>
  </si>
  <si>
    <t xml:space="preserve">The Bread Baker's Apprentice: Mastering the Art of Extraordinary Bread  </t>
  </si>
  <si>
    <t xml:space="preserve">Backbone</t>
  </si>
  <si>
    <t xml:space="preserve">Johnny Got His Gun</t>
  </si>
  <si>
    <t xml:space="preserve">Would it kill you to stop doing that?</t>
  </si>
  <si>
    <t xml:space="preserve">The Hero with a Thousand Faces</t>
  </si>
  <si>
    <t xml:space="preserve">Mind in the Balance: Meditation in Science, Buddhism, and Christianity  </t>
  </si>
  <si>
    <t xml:space="preserve">The Elements of Journalism</t>
  </si>
  <si>
    <t xml:space="preserve">Custer's Last Stand: The Anatomy of an American Myth</t>
  </si>
  <si>
    <t xml:space="preserve">Scattered</t>
  </si>
  <si>
    <t xml:space="preserve">History of Nevada: Elliot</t>
  </si>
  <si>
    <t xml:space="preserve">One Man Against the World</t>
  </si>
  <si>
    <t xml:space="preserve">The Gatekeepers: How the White House Chiefs of Staff Define Every Presidency  </t>
  </si>
  <si>
    <t xml:space="preserve">Storm in a Teacup: The Physics of Everyday Life  </t>
  </si>
  <si>
    <t xml:space="preserve">14-18: Understanding the Great War</t>
  </si>
  <si>
    <t xml:space="preserve">Thinking Fast and Slow</t>
  </si>
  <si>
    <t xml:space="preserve">The Age of American Unreason</t>
  </si>
  <si>
    <t xml:space="preserve">Ohio A Personal Portrait of the 17th State</t>
  </si>
  <si>
    <t xml:space="preserve">Guidebook for Marines</t>
  </si>
  <si>
    <t xml:space="preserve">The Gamble: General Petraeus and the American Military Adventure in Iraq  </t>
  </si>
  <si>
    <t xml:space="preserve">The Alchemist</t>
  </si>
  <si>
    <t xml:space="preserve">Physics Made Simple: A Complete Introduction to the Basic Principles of This Fundamental Science (Made    - Simple (Broadway Books))  </t>
  </si>
  <si>
    <t xml:space="preserve">Knocking on Labor's Door</t>
  </si>
  <si>
    <t xml:space="preserve">Boots and Saddles</t>
  </si>
  <si>
    <t xml:space="preserve">Bringing up Bebe</t>
  </si>
  <si>
    <t xml:space="preserve">I Am a Strange Loop  </t>
  </si>
  <si>
    <t xml:space="preserve">The Black Swan</t>
  </si>
  <si>
    <t xml:space="preserve">Eichmann in Jerusalem: A Report on the Banality of Evil (Penguin Classics)  </t>
  </si>
  <si>
    <t xml:space="preserve">The Relativity of Wrong (Asimov)</t>
  </si>
  <si>
    <t xml:space="preserve">Nuclear Weapons and Coercive Diplomacy</t>
  </si>
  <si>
    <t xml:space="preserve">A Generation of Sociopaths</t>
  </si>
  <si>
    <t xml:space="preserve">Abraham Lincoln and the Structure of Reason  </t>
  </si>
  <si>
    <t xml:space="preserve">Normal Accidents: Living with High Risk Technologies (Charles Perrow)</t>
  </si>
  <si>
    <t xml:space="preserve">Silence: A Christian History  </t>
  </si>
  <si>
    <t xml:space="preserve">The Eastern Front 1914-1917</t>
  </si>
  <si>
    <t xml:space="preserve">The Battle for God</t>
  </si>
  <si>
    <t xml:space="preserve">Warriors and Citizens</t>
  </si>
  <si>
    <t xml:space="preserve">Bible Nation</t>
  </si>
  <si>
    <t xml:space="preserve">Leaders Eat Last</t>
  </si>
  <si>
    <t xml:space="preserve">Legionnaire</t>
  </si>
  <si>
    <t xml:space="preserve">Empire of the Summer Moon: Quanah Parker and the Rise and Fall of the Comanche's, the Most Powerful</t>
  </si>
  <si>
    <t xml:space="preserve">Living Buddha, Living Christ 10th Anniversary Edition  </t>
  </si>
  <si>
    <t xml:space="preserve">Jerusalem: One City Three Faiths</t>
  </si>
  <si>
    <t xml:space="preserve">Fiasco</t>
  </si>
  <si>
    <t xml:space="preserve">Wrapped in the Flag: A Personal History of America's Radical Right</t>
  </si>
  <si>
    <t xml:space="preserve">War Against War: The American Fight for Peace, 1914-1918    </t>
  </si>
  <si>
    <t xml:space="preserve">The Information: A History, A Theory, A Flood</t>
  </si>
  <si>
    <t xml:space="preserve">On Killing</t>
  </si>
  <si>
    <t xml:space="preserve">Don't Know Much About Mythology</t>
  </si>
  <si>
    <t xml:space="preserve">A Saturnalia of Bunk</t>
  </si>
  <si>
    <t xml:space="preserve">The Psychopath Test: A Journey Through the Madness Industry  </t>
  </si>
  <si>
    <t xml:space="preserve">A Testament of Hope: The Essential Writings and Speeches (MLK)</t>
  </si>
  <si>
    <t xml:space="preserve">History of Religion a Sketch of Primitive Religious Beliefs and Practices, and of the Origin and Character of the Great Systems  </t>
  </si>
  <si>
    <t xml:space="preserve">The Big Bonanza</t>
  </si>
  <si>
    <t xml:space="preserve">The New Knighthood</t>
  </si>
  <si>
    <t xml:space="preserve">Hard Times</t>
  </si>
  <si>
    <t xml:space="preserve">Black Earth: The Holocaust as History and Warning  </t>
  </si>
  <si>
    <t xml:space="preserve">Liberty or Death: The French Revolution </t>
  </si>
  <si>
    <t xml:space="preserve">How Democracies Die</t>
  </si>
  <si>
    <t xml:space="preserve">Venetian Masque</t>
  </si>
  <si>
    <t xml:space="preserve">A Pictorial History of the Great Lakes</t>
  </si>
  <si>
    <t xml:space="preserve">A Man in Full</t>
  </si>
  <si>
    <t xml:space="preserve">The Last King</t>
  </si>
  <si>
    <t xml:space="preserve">Tools of Titans: The Tactics, Routines, and Habits of Billionaires, Icons, and World-Class Performers  </t>
  </si>
  <si>
    <t xml:space="preserve">Nom De Plume: A (Secret) History of Pseudonyms </t>
  </si>
  <si>
    <t xml:space="preserve">Enemies: A History of the FBI</t>
  </si>
  <si>
    <t xml:space="preserve">Don't Know Much About the Bible</t>
  </si>
  <si>
    <t xml:space="preserve">The Origins of Totalitarianism </t>
  </si>
  <si>
    <t xml:space="preserve">How Music Works</t>
  </si>
  <si>
    <t xml:space="preserve">The Great Unknown</t>
  </si>
  <si>
    <t xml:space="preserve">The Way of the Knife</t>
  </si>
  <si>
    <t xml:space="preserve">Biblical Literalism</t>
  </si>
  <si>
    <t xml:space="preserve">Red Notice: A True Story of High Finance, Murder, and One Man’s Fight for Justice  </t>
  </si>
  <si>
    <t xml:space="preserve">An Unfinished Life</t>
  </si>
  <si>
    <t xml:space="preserve">The War To End All Wars (Coffman)</t>
  </si>
  <si>
    <t xml:space="preserve">1000 Beautiful Things</t>
  </si>
  <si>
    <t xml:space="preserve">The Righteous Mind: Why Good People Are Divided by Politics and Religion  </t>
  </si>
  <si>
    <t xml:space="preserve">The American Bible-Whose America Is This?: How Our Words Unite, Divide, and Define a Nation  </t>
  </si>
  <si>
    <t xml:space="preserve">Legacy of Ashes</t>
  </si>
  <si>
    <t xml:space="preserve">A Global History of Architecture</t>
  </si>
  <si>
    <t xml:space="preserve">The New testament: A Translation</t>
  </si>
  <si>
    <t xml:space="preserve">Irish Life in the Seventeenth Century</t>
  </si>
  <si>
    <t xml:space="preserve">Rise and Fall of the Third Reich</t>
  </si>
  <si>
    <t xml:space="preserve">Winning Arguments</t>
  </si>
  <si>
    <t xml:space="preserve">Cornered: The New Monopoly</t>
  </si>
  <si>
    <t xml:space="preserve">Book Read</t>
  </si>
  <si>
    <t xml:space="preserve">Yes (Reading Again)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</si>
</sst>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H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6" activePane="bottomLeft" state="frozen"/>
      <selection pane="topLeft" activeCell="A1" activeCellId="0" sqref="A1"/>
      <selection pane="bottomLeft" activeCell="B58" activeCellId="0" sqref="B58"/>
    </sheetView>
  </sheetViews>
  <sheetFormatPr defaultRowHeight="13.8" zeroHeight="false" outlineLevelRow="0" outlineLevelCol="0"/>
  <cols>
    <col collapsed="false" customWidth="true" hidden="false" outlineLevel="0" max="1" min="1" style="1" width="125.29"/>
    <col collapsed="false" customWidth="true" hidden="false" outlineLevel="0" max="4" min="2" style="1" width="13.28"/>
    <col collapsed="false" customWidth="true" hidden="false" outlineLevel="0" max="6" min="5" style="2" width="17.28"/>
    <col collapsed="false" customWidth="true" hidden="false" outlineLevel="0" max="7" min="7" style="3" width="17.28"/>
    <col collapsed="false" customWidth="true" hidden="false" outlineLevel="0" max="8" min="8" style="0" width="17.57"/>
    <col collapsed="false" customWidth="true" hidden="false" outlineLevel="0" max="1025" min="9" style="0" width="8.53"/>
  </cols>
  <sheetData>
    <row r="1" s="7" customFormat="true" ht="14.9" hidden="false" customHeight="false" outlineLevel="0" collapsed="false">
      <c r="A1" s="4" t="s">
        <v>0</v>
      </c>
      <c r="B1" s="4"/>
      <c r="C1" s="4"/>
      <c r="D1" s="4"/>
      <c r="E1" s="5"/>
      <c r="F1" s="5"/>
      <c r="G1" s="6"/>
    </row>
    <row r="2" s="7" customFormat="true" ht="14.9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6" t="s">
        <v>7</v>
      </c>
      <c r="H2" s="7" t="s">
        <v>8</v>
      </c>
    </row>
    <row r="3" customFormat="false" ht="14.9" hidden="true" customHeight="false" outlineLevel="0" collapsed="false">
      <c r="A3" s="1" t="s">
        <v>9</v>
      </c>
      <c r="E3" s="2" t="n">
        <v>4</v>
      </c>
      <c r="F3" s="2" t="n">
        <v>46</v>
      </c>
      <c r="G3" s="3" t="n">
        <f aca="false">E3/F3</f>
        <v>0.0869565217391304</v>
      </c>
      <c r="H3" s="8" t="s">
        <v>10</v>
      </c>
    </row>
    <row r="4" customFormat="false" ht="14.9" hidden="true" customHeight="false" outlineLevel="0" collapsed="false">
      <c r="A4" s="1" t="s">
        <v>11</v>
      </c>
      <c r="E4" s="2" t="n">
        <v>2</v>
      </c>
      <c r="G4" s="3" t="str">
        <f aca="false">IFERROR(E4/F4," ")</f>
        <v> </v>
      </c>
      <c r="H4" s="8" t="s">
        <v>12</v>
      </c>
    </row>
    <row r="5" customFormat="false" ht="14.9" hidden="true" customHeight="false" outlineLevel="0" collapsed="false">
      <c r="A5" s="1" t="s">
        <v>13</v>
      </c>
      <c r="E5" s="2" t="n">
        <v>2</v>
      </c>
      <c r="G5" s="3" t="str">
        <f aca="false">IFERROR(E5/F5," ")</f>
        <v> </v>
      </c>
      <c r="H5" s="8" t="s">
        <v>12</v>
      </c>
    </row>
    <row r="6" customFormat="false" ht="14.9" hidden="true" customHeight="false" outlineLevel="0" collapsed="false">
      <c r="A6" s="1" t="s">
        <v>14</v>
      </c>
      <c r="E6" s="2" t="n">
        <v>2</v>
      </c>
      <c r="G6" s="3" t="str">
        <f aca="false">IFERROR(E6/F6," ")</f>
        <v> </v>
      </c>
      <c r="H6" s="8" t="s">
        <v>12</v>
      </c>
    </row>
    <row r="7" customFormat="false" ht="14.9" hidden="true" customHeight="false" outlineLevel="0" collapsed="false">
      <c r="A7" s="1" t="s">
        <v>15</v>
      </c>
      <c r="E7" s="2" t="n">
        <v>2</v>
      </c>
      <c r="G7" s="3" t="str">
        <f aca="false">IFERROR(E7/F7," ")</f>
        <v> </v>
      </c>
      <c r="H7" s="8" t="s">
        <v>12</v>
      </c>
    </row>
    <row r="8" customFormat="false" ht="14.9" hidden="true" customHeight="false" outlineLevel="0" collapsed="false">
      <c r="A8" s="1" t="s">
        <v>16</v>
      </c>
      <c r="E8" s="2" t="n">
        <v>2</v>
      </c>
      <c r="G8" s="3" t="str">
        <f aca="false">IFERROR(E8/F8," ")</f>
        <v> </v>
      </c>
      <c r="H8" s="8" t="s">
        <v>12</v>
      </c>
    </row>
    <row r="9" customFormat="false" ht="14.9" hidden="true" customHeight="false" outlineLevel="0" collapsed="false">
      <c r="A9" s="1" t="s">
        <v>17</v>
      </c>
      <c r="E9" s="2" t="n">
        <v>2</v>
      </c>
      <c r="G9" s="3" t="str">
        <f aca="false">IFERROR(E9/F9," ")</f>
        <v> </v>
      </c>
      <c r="H9" s="8" t="s">
        <v>12</v>
      </c>
    </row>
    <row r="10" customFormat="false" ht="14.9" hidden="true" customHeight="false" outlineLevel="0" collapsed="false">
      <c r="A10" s="1" t="s">
        <v>18</v>
      </c>
      <c r="E10" s="2" t="n">
        <v>2</v>
      </c>
      <c r="G10" s="3" t="str">
        <f aca="false">IFERROR(E10/F10," ")</f>
        <v> </v>
      </c>
      <c r="H10" s="8" t="s">
        <v>12</v>
      </c>
    </row>
    <row r="11" customFormat="false" ht="14.9" hidden="true" customHeight="false" outlineLevel="0" collapsed="false">
      <c r="A11" s="1" t="s">
        <v>19</v>
      </c>
      <c r="E11" s="2" t="n">
        <v>2</v>
      </c>
      <c r="G11" s="3" t="str">
        <f aca="false">IFERROR(E11/F11," ")</f>
        <v> </v>
      </c>
      <c r="H11" s="8" t="s">
        <v>12</v>
      </c>
    </row>
    <row r="12" customFormat="false" ht="14.9" hidden="true" customHeight="false" outlineLevel="0" collapsed="false">
      <c r="A12" s="1" t="s">
        <v>20</v>
      </c>
      <c r="E12" s="2" t="n">
        <v>2</v>
      </c>
      <c r="G12" s="3" t="str">
        <f aca="false">IFERROR(E12/F12," ")</f>
        <v> </v>
      </c>
      <c r="H12" s="8" t="s">
        <v>12</v>
      </c>
    </row>
    <row r="13" customFormat="false" ht="14.9" hidden="true" customHeight="false" outlineLevel="0" collapsed="false">
      <c r="A13" s="1" t="s">
        <v>21</v>
      </c>
      <c r="E13" s="2" t="n">
        <v>2</v>
      </c>
      <c r="G13" s="3" t="str">
        <f aca="false">IFERROR(E13/F13," ")</f>
        <v> </v>
      </c>
      <c r="H13" s="8" t="s">
        <v>12</v>
      </c>
    </row>
    <row r="14" customFormat="false" ht="14.9" hidden="true" customHeight="false" outlineLevel="0" collapsed="false">
      <c r="A14" s="1" t="s">
        <v>22</v>
      </c>
      <c r="E14" s="2" t="n">
        <v>4</v>
      </c>
      <c r="F14" s="2" t="n">
        <v>9</v>
      </c>
      <c r="G14" s="3" t="n">
        <f aca="false">IFERROR(E14/F14," ")</f>
        <v>0.444444444444444</v>
      </c>
      <c r="H14" s="8" t="s">
        <v>10</v>
      </c>
    </row>
    <row r="15" customFormat="false" ht="14.9" hidden="true" customHeight="false" outlineLevel="0" collapsed="false">
      <c r="A15" s="1" t="s">
        <v>23</v>
      </c>
      <c r="D15" s="1" t="s">
        <v>24</v>
      </c>
      <c r="E15" s="2" t="n">
        <v>4</v>
      </c>
      <c r="F15" s="2" t="n">
        <v>11</v>
      </c>
      <c r="G15" s="3" t="n">
        <f aca="false">IFERROR(E15/F15," ")</f>
        <v>0.363636363636364</v>
      </c>
      <c r="H15" s="8" t="s">
        <v>10</v>
      </c>
    </row>
    <row r="16" customFormat="false" ht="14.9" hidden="false" customHeight="false" outlineLevel="0" collapsed="false">
      <c r="A16" s="1" t="s">
        <v>25</v>
      </c>
      <c r="D16" s="1" t="s">
        <v>24</v>
      </c>
      <c r="E16" s="2" t="n">
        <v>4</v>
      </c>
      <c r="F16" s="2" t="n">
        <v>14</v>
      </c>
      <c r="G16" s="3" t="n">
        <f aca="false">IFERROR(E16/F16," ")</f>
        <v>0.285714285714286</v>
      </c>
      <c r="H16" s="8" t="s">
        <v>12</v>
      </c>
    </row>
    <row r="17" customFormat="false" ht="14.9" hidden="false" customHeight="false" outlineLevel="0" collapsed="false">
      <c r="A17" s="1" t="s">
        <v>26</v>
      </c>
      <c r="D17" s="1" t="s">
        <v>27</v>
      </c>
      <c r="E17" s="2" t="n">
        <v>3</v>
      </c>
      <c r="F17" s="2" t="n">
        <v>12</v>
      </c>
      <c r="G17" s="3" t="n">
        <f aca="false">IFERROR(E17/F17," ")</f>
        <v>0.25</v>
      </c>
      <c r="H17" s="8" t="s">
        <v>12</v>
      </c>
    </row>
    <row r="18" customFormat="false" ht="14.9" hidden="true" customHeight="false" outlineLevel="0" collapsed="false">
      <c r="A18" s="1" t="s">
        <v>28</v>
      </c>
      <c r="D18" s="1" t="s">
        <v>29</v>
      </c>
      <c r="E18" s="2" t="n">
        <v>3</v>
      </c>
      <c r="F18" s="2" t="n">
        <v>14</v>
      </c>
      <c r="G18" s="3" t="n">
        <f aca="false">IFERROR(E18/F18," ")</f>
        <v>0.214285714285714</v>
      </c>
      <c r="H18" s="8" t="s">
        <v>10</v>
      </c>
    </row>
    <row r="19" customFormat="false" ht="14.9" hidden="true" customHeight="false" outlineLevel="0" collapsed="false">
      <c r="A19" s="1" t="s">
        <v>30</v>
      </c>
      <c r="E19" s="2" t="n">
        <v>5</v>
      </c>
      <c r="F19" s="2" t="n">
        <v>73</v>
      </c>
      <c r="G19" s="3" t="n">
        <f aca="false">E19/F19</f>
        <v>0.0684931506849315</v>
      </c>
      <c r="H19" s="8" t="s">
        <v>10</v>
      </c>
    </row>
    <row r="20" customFormat="false" ht="14.9" hidden="false" customHeight="false" outlineLevel="0" collapsed="false">
      <c r="A20" s="1" t="s">
        <v>31</v>
      </c>
      <c r="D20" s="1" t="s">
        <v>29</v>
      </c>
      <c r="E20" s="2" t="n">
        <v>4</v>
      </c>
      <c r="F20" s="2" t="n">
        <v>20</v>
      </c>
      <c r="G20" s="3" t="n">
        <f aca="false">IFERROR(E20/F20," ")</f>
        <v>0.2</v>
      </c>
      <c r="H20" s="8" t="s">
        <v>12</v>
      </c>
    </row>
    <row r="21" customFormat="false" ht="14.9" hidden="false" customHeight="false" outlineLevel="0" collapsed="false">
      <c r="A21" s="1" t="s">
        <v>32</v>
      </c>
      <c r="D21" s="1" t="s">
        <v>27</v>
      </c>
      <c r="E21" s="2" t="n">
        <v>5</v>
      </c>
      <c r="F21" s="2" t="n">
        <v>29</v>
      </c>
      <c r="G21" s="3" t="n">
        <f aca="false">IFERROR(E21/F21," ")</f>
        <v>0.172413793103448</v>
      </c>
      <c r="H21" s="8" t="s">
        <v>12</v>
      </c>
    </row>
    <row r="22" customFormat="false" ht="14.9" hidden="false" customHeight="false" outlineLevel="0" collapsed="false">
      <c r="A22" s="1" t="s">
        <v>33</v>
      </c>
      <c r="D22" s="1" t="s">
        <v>34</v>
      </c>
      <c r="E22" s="2" t="n">
        <v>3</v>
      </c>
      <c r="F22" s="2" t="n">
        <v>20</v>
      </c>
      <c r="G22" s="3" t="n">
        <f aca="false">IFERROR(E22/F22," ")</f>
        <v>0.15</v>
      </c>
      <c r="H22" s="8" t="s">
        <v>12</v>
      </c>
    </row>
    <row r="23" customFormat="false" ht="14.9" hidden="false" customHeight="false" outlineLevel="0" collapsed="false">
      <c r="A23" s="1" t="s">
        <v>35</v>
      </c>
      <c r="D23" s="1" t="s">
        <v>34</v>
      </c>
      <c r="E23" s="2" t="n">
        <v>3</v>
      </c>
      <c r="F23" s="2" t="n">
        <v>25</v>
      </c>
      <c r="G23" s="3" t="n">
        <f aca="false">IFERROR(E23/F23," ")</f>
        <v>0.12</v>
      </c>
      <c r="H23" s="8" t="s">
        <v>12</v>
      </c>
    </row>
    <row r="24" customFormat="false" ht="14.9" hidden="false" customHeight="false" outlineLevel="0" collapsed="false">
      <c r="A24" s="1" t="s">
        <v>36</v>
      </c>
      <c r="B24" s="1" t="s">
        <v>37</v>
      </c>
      <c r="D24" s="1" t="s">
        <v>38</v>
      </c>
      <c r="E24" s="2" t="n">
        <v>2</v>
      </c>
      <c r="F24" s="2" t="n">
        <v>30</v>
      </c>
      <c r="G24" s="3" t="n">
        <f aca="false">E24/F24</f>
        <v>0.0666666666666667</v>
      </c>
      <c r="H24" s="8" t="s">
        <v>12</v>
      </c>
    </row>
    <row r="25" customFormat="false" ht="14.9" hidden="false" customHeight="false" outlineLevel="0" collapsed="false">
      <c r="A25" s="1" t="s">
        <v>39</v>
      </c>
      <c r="D25" s="1" t="s">
        <v>34</v>
      </c>
      <c r="E25" s="2" t="n">
        <v>3</v>
      </c>
      <c r="F25" s="2" t="n">
        <v>55</v>
      </c>
      <c r="G25" s="3" t="n">
        <f aca="false">IFERROR(E25/F25," ")</f>
        <v>0.0545454545454545</v>
      </c>
      <c r="H25" s="8" t="s">
        <v>12</v>
      </c>
    </row>
    <row r="26" customFormat="false" ht="14.9" hidden="false" customHeight="false" outlineLevel="0" collapsed="false">
      <c r="A26" s="1" t="s">
        <v>40</v>
      </c>
      <c r="B26" s="1" t="s">
        <v>37</v>
      </c>
      <c r="D26" s="1" t="s">
        <v>38</v>
      </c>
      <c r="E26" s="2" t="n">
        <v>4</v>
      </c>
      <c r="F26" s="2" t="n">
        <v>74</v>
      </c>
      <c r="G26" s="3" t="n">
        <f aca="false">IFERROR(E26/F26," ")</f>
        <v>0.0540540540540541</v>
      </c>
      <c r="H26" s="8" t="s">
        <v>12</v>
      </c>
    </row>
    <row r="27" customFormat="false" ht="14.9" hidden="false" customHeight="false" outlineLevel="0" collapsed="false">
      <c r="A27" s="1" t="s">
        <v>41</v>
      </c>
      <c r="B27" s="1" t="s">
        <v>37</v>
      </c>
      <c r="D27" s="1" t="s">
        <v>38</v>
      </c>
      <c r="E27" s="2" t="n">
        <v>5</v>
      </c>
      <c r="F27" s="2" t="n">
        <v>120</v>
      </c>
      <c r="G27" s="3" t="n">
        <f aca="false">IFERROR(E27/F27," ")</f>
        <v>0.0416666666666667</v>
      </c>
      <c r="H27" s="8" t="s">
        <v>12</v>
      </c>
    </row>
    <row r="28" customFormat="false" ht="14.9" hidden="false" customHeight="false" outlineLevel="0" collapsed="false">
      <c r="A28" s="1" t="s">
        <v>42</v>
      </c>
      <c r="B28" s="1" t="s">
        <v>37</v>
      </c>
      <c r="D28" s="1" t="s">
        <v>38</v>
      </c>
      <c r="E28" s="2" t="n">
        <v>3</v>
      </c>
      <c r="F28" s="2" t="n">
        <v>72</v>
      </c>
      <c r="G28" s="3" t="n">
        <f aca="false">IFERROR(E28/F28," ")</f>
        <v>0.0416666666666667</v>
      </c>
      <c r="H28" s="8" t="s">
        <v>12</v>
      </c>
    </row>
    <row r="29" customFormat="false" ht="14.9" hidden="false" customHeight="false" outlineLevel="0" collapsed="false">
      <c r="A29" s="1" t="s">
        <v>43</v>
      </c>
      <c r="B29" s="1" t="s">
        <v>37</v>
      </c>
      <c r="D29" s="1" t="s">
        <v>38</v>
      </c>
      <c r="E29" s="2" t="n">
        <v>5</v>
      </c>
      <c r="F29" s="2" t="n">
        <v>128</v>
      </c>
      <c r="G29" s="3" t="n">
        <f aca="false">IFERROR(E29/F29," ")</f>
        <v>0.0390625</v>
      </c>
      <c r="H29" s="8" t="s">
        <v>12</v>
      </c>
    </row>
    <row r="30" customFormat="false" ht="14.9" hidden="false" customHeight="false" outlineLevel="0" collapsed="false">
      <c r="A30" s="1" t="s">
        <v>44</v>
      </c>
      <c r="B30" s="1" t="s">
        <v>37</v>
      </c>
      <c r="D30" s="1" t="s">
        <v>38</v>
      </c>
      <c r="E30" s="2" t="n">
        <v>5</v>
      </c>
      <c r="F30" s="2" t="n">
        <v>133</v>
      </c>
      <c r="G30" s="3" t="n">
        <f aca="false">IFERROR(E30/F30," ")</f>
        <v>0.037593984962406</v>
      </c>
      <c r="H30" s="8" t="s">
        <v>12</v>
      </c>
    </row>
    <row r="31" customFormat="false" ht="14.9" hidden="false" customHeight="false" outlineLevel="0" collapsed="false">
      <c r="A31" s="1" t="s">
        <v>45</v>
      </c>
      <c r="B31" s="1" t="s">
        <v>37</v>
      </c>
      <c r="D31" s="1" t="s">
        <v>38</v>
      </c>
      <c r="E31" s="2" t="n">
        <v>4</v>
      </c>
      <c r="F31" s="2" t="n">
        <v>132</v>
      </c>
      <c r="G31" s="3" t="n">
        <f aca="false">IFERROR(E31/F31," ")</f>
        <v>0.0303030303030303</v>
      </c>
      <c r="H31" s="8" t="s">
        <v>12</v>
      </c>
    </row>
    <row r="32" customFormat="false" ht="14.9" hidden="false" customHeight="false" outlineLevel="0" collapsed="false">
      <c r="A32" s="1" t="s">
        <v>46</v>
      </c>
      <c r="B32" s="1" t="s">
        <v>37</v>
      </c>
      <c r="D32" s="1" t="s">
        <v>38</v>
      </c>
      <c r="E32" s="2" t="n">
        <v>4</v>
      </c>
      <c r="F32" s="2" t="n">
        <v>160</v>
      </c>
      <c r="G32" s="3" t="n">
        <f aca="false">IFERROR(E32/F32," ")</f>
        <v>0.025</v>
      </c>
      <c r="H32" s="8" t="s">
        <v>12</v>
      </c>
    </row>
    <row r="33" customFormat="false" ht="14.9" hidden="false" customHeight="false" outlineLevel="0" collapsed="false">
      <c r="A33" s="1" t="s">
        <v>47</v>
      </c>
      <c r="B33" s="1" t="s">
        <v>37</v>
      </c>
      <c r="D33" s="1" t="s">
        <v>38</v>
      </c>
      <c r="E33" s="2" t="n">
        <v>2</v>
      </c>
      <c r="F33" s="2" t="n">
        <v>80</v>
      </c>
      <c r="G33" s="3" t="n">
        <f aca="false">IFERROR(E33/F33," ")</f>
        <v>0.025</v>
      </c>
      <c r="H33" s="8" t="s">
        <v>12</v>
      </c>
    </row>
    <row r="34" customFormat="false" ht="14.9" hidden="false" customHeight="false" outlineLevel="0" collapsed="false">
      <c r="A34" s="1" t="s">
        <v>48</v>
      </c>
      <c r="B34" s="1" t="s">
        <v>37</v>
      </c>
      <c r="D34" s="1" t="s">
        <v>38</v>
      </c>
      <c r="E34" s="2" t="n">
        <v>3</v>
      </c>
      <c r="F34" s="2" t="n">
        <v>124</v>
      </c>
      <c r="G34" s="3" t="n">
        <f aca="false">IFERROR(E34/F34," ")</f>
        <v>0.0241935483870968</v>
      </c>
      <c r="H34" s="8" t="s">
        <v>12</v>
      </c>
    </row>
    <row r="35" customFormat="false" ht="14.9" hidden="false" customHeight="false" outlineLevel="0" collapsed="false">
      <c r="A35" s="1" t="s">
        <v>49</v>
      </c>
      <c r="B35" s="1" t="s">
        <v>37</v>
      </c>
      <c r="D35" s="1" t="s">
        <v>38</v>
      </c>
      <c r="E35" s="2" t="n">
        <v>5</v>
      </c>
      <c r="F35" s="2" t="n">
        <v>208</v>
      </c>
      <c r="G35" s="3" t="n">
        <f aca="false">IFERROR(E35/F35," ")</f>
        <v>0.0240384615384615</v>
      </c>
      <c r="H35" s="8" t="s">
        <v>12</v>
      </c>
    </row>
    <row r="36" customFormat="false" ht="14.9" hidden="false" customHeight="false" outlineLevel="0" collapsed="false">
      <c r="A36" s="1" t="s">
        <v>50</v>
      </c>
      <c r="B36" s="1" t="s">
        <v>37</v>
      </c>
      <c r="D36" s="1" t="s">
        <v>38</v>
      </c>
      <c r="E36" s="2" t="n">
        <v>3</v>
      </c>
      <c r="F36" s="2" t="n">
        <v>128</v>
      </c>
      <c r="G36" s="3" t="n">
        <f aca="false">IFERROR(E36/F36," ")</f>
        <v>0.0234375</v>
      </c>
      <c r="H36" s="8" t="s">
        <v>12</v>
      </c>
    </row>
    <row r="37" customFormat="false" ht="14.9" hidden="false" customHeight="false" outlineLevel="0" collapsed="false">
      <c r="A37" s="1" t="s">
        <v>51</v>
      </c>
      <c r="B37" s="1" t="s">
        <v>37</v>
      </c>
      <c r="D37" s="1" t="s">
        <v>38</v>
      </c>
      <c r="E37" s="2" t="n">
        <v>5</v>
      </c>
      <c r="F37" s="2" t="n">
        <v>224</v>
      </c>
      <c r="G37" s="3" t="n">
        <f aca="false">IFERROR(E37/F37," ")</f>
        <v>0.0223214285714286</v>
      </c>
      <c r="H37" s="8" t="s">
        <v>12</v>
      </c>
    </row>
    <row r="38" customFormat="false" ht="14.9" hidden="false" customHeight="false" outlineLevel="0" collapsed="false">
      <c r="A38" s="1" t="s">
        <v>52</v>
      </c>
      <c r="B38" s="1" t="s">
        <v>37</v>
      </c>
      <c r="D38" s="1" t="s">
        <v>38</v>
      </c>
      <c r="E38" s="2" t="n">
        <v>5</v>
      </c>
      <c r="F38" s="2" t="n">
        <v>228</v>
      </c>
      <c r="G38" s="3" t="n">
        <f aca="false">IFERROR(E38/F38," ")</f>
        <v>0.0219298245614035</v>
      </c>
      <c r="H38" s="8" t="s">
        <v>12</v>
      </c>
    </row>
    <row r="39" customFormat="false" ht="14.9" hidden="false" customHeight="false" outlineLevel="0" collapsed="false">
      <c r="A39" s="1" t="s">
        <v>53</v>
      </c>
      <c r="D39" s="1" t="s">
        <v>38</v>
      </c>
      <c r="E39" s="2" t="n">
        <v>4</v>
      </c>
      <c r="F39" s="2" t="n">
        <v>191</v>
      </c>
      <c r="G39" s="3" t="n">
        <f aca="false">IFERROR(E39/F39," ")</f>
        <v>0.0209424083769633</v>
      </c>
      <c r="H39" s="8" t="s">
        <v>12</v>
      </c>
    </row>
    <row r="40" customFormat="false" ht="14.9" hidden="false" customHeight="false" outlineLevel="0" collapsed="false">
      <c r="A40" s="1" t="s">
        <v>54</v>
      </c>
      <c r="B40" s="1" t="s">
        <v>37</v>
      </c>
      <c r="D40" s="1" t="s">
        <v>38</v>
      </c>
      <c r="E40" s="2" t="n">
        <v>4</v>
      </c>
      <c r="F40" s="2" t="n">
        <v>192</v>
      </c>
      <c r="G40" s="3" t="n">
        <f aca="false">IFERROR(E40/F40," ")</f>
        <v>0.0208333333333333</v>
      </c>
      <c r="H40" s="8" t="s">
        <v>12</v>
      </c>
    </row>
    <row r="41" customFormat="false" ht="14.9" hidden="false" customHeight="false" outlineLevel="0" collapsed="false">
      <c r="A41" s="1" t="s">
        <v>55</v>
      </c>
      <c r="B41" s="1" t="s">
        <v>37</v>
      </c>
      <c r="D41" s="1" t="s">
        <v>38</v>
      </c>
      <c r="E41" s="2" t="n">
        <v>4</v>
      </c>
      <c r="F41" s="2" t="n">
        <v>198</v>
      </c>
      <c r="G41" s="3" t="n">
        <f aca="false">IFERROR(E41/F41," ")</f>
        <v>0.0202020202020202</v>
      </c>
      <c r="H41" s="8" t="s">
        <v>12</v>
      </c>
    </row>
    <row r="42" customFormat="false" ht="14.9" hidden="false" customHeight="false" outlineLevel="0" collapsed="false">
      <c r="A42" s="1" t="s">
        <v>56</v>
      </c>
      <c r="B42" s="1" t="s">
        <v>37</v>
      </c>
      <c r="D42" s="1" t="s">
        <v>38</v>
      </c>
      <c r="E42" s="2" t="n">
        <v>5</v>
      </c>
      <c r="F42" s="2" t="n">
        <v>258</v>
      </c>
      <c r="G42" s="3" t="n">
        <f aca="false">IFERROR(E42/F42," ")</f>
        <v>0.0193798449612403</v>
      </c>
      <c r="H42" s="8" t="s">
        <v>12</v>
      </c>
    </row>
    <row r="43" customFormat="false" ht="14.9" hidden="false" customHeight="false" outlineLevel="0" collapsed="false">
      <c r="A43" s="1" t="s">
        <v>57</v>
      </c>
      <c r="B43" s="1" t="s">
        <v>37</v>
      </c>
      <c r="D43" s="1" t="s">
        <v>38</v>
      </c>
      <c r="E43" s="2" t="n">
        <v>3</v>
      </c>
      <c r="F43" s="2" t="n">
        <v>157</v>
      </c>
      <c r="G43" s="3" t="n">
        <f aca="false">IFERROR(E43/F43," ")</f>
        <v>0.0191082802547771</v>
      </c>
      <c r="H43" s="8" t="s">
        <v>12</v>
      </c>
    </row>
    <row r="44" customFormat="false" ht="14.9" hidden="false" customHeight="false" outlineLevel="0" collapsed="false">
      <c r="A44" s="1" t="s">
        <v>58</v>
      </c>
      <c r="B44" s="1" t="s">
        <v>37</v>
      </c>
      <c r="D44" s="1" t="s">
        <v>38</v>
      </c>
      <c r="E44" s="2" t="n">
        <v>3</v>
      </c>
      <c r="F44" s="2" t="n">
        <v>160</v>
      </c>
      <c r="G44" s="3" t="n">
        <f aca="false">IFERROR(E44/F44," ")</f>
        <v>0.01875</v>
      </c>
      <c r="H44" s="8" t="s">
        <v>12</v>
      </c>
    </row>
    <row r="45" customFormat="false" ht="14.9" hidden="false" customHeight="false" outlineLevel="0" collapsed="false">
      <c r="A45" s="1" t="s">
        <v>59</v>
      </c>
      <c r="B45" s="1" t="s">
        <v>37</v>
      </c>
      <c r="D45" s="1" t="s">
        <v>38</v>
      </c>
      <c r="E45" s="2" t="n">
        <v>4</v>
      </c>
      <c r="F45" s="2" t="n">
        <v>224</v>
      </c>
      <c r="G45" s="3" t="n">
        <f aca="false">IFERROR(E45/F45," ")</f>
        <v>0.0178571428571429</v>
      </c>
      <c r="H45" s="8" t="s">
        <v>12</v>
      </c>
    </row>
    <row r="46" customFormat="false" ht="14.9" hidden="false" customHeight="false" outlineLevel="0" collapsed="false">
      <c r="A46" s="1" t="s">
        <v>60</v>
      </c>
      <c r="B46" s="1" t="s">
        <v>37</v>
      </c>
      <c r="D46" s="1" t="s">
        <v>38</v>
      </c>
      <c r="E46" s="2" t="n">
        <v>4</v>
      </c>
      <c r="F46" s="2" t="n">
        <v>226</v>
      </c>
      <c r="G46" s="3" t="n">
        <f aca="false">IFERROR(E46/F46," ")</f>
        <v>0.0176991150442478</v>
      </c>
      <c r="H46" s="8" t="s">
        <v>12</v>
      </c>
    </row>
    <row r="47" customFormat="false" ht="14.9" hidden="false" customHeight="false" outlineLevel="0" collapsed="false">
      <c r="A47" s="1" t="s">
        <v>61</v>
      </c>
      <c r="B47" s="1" t="s">
        <v>37</v>
      </c>
      <c r="D47" s="1" t="s">
        <v>38</v>
      </c>
      <c r="E47" s="2" t="n">
        <v>5</v>
      </c>
      <c r="F47" s="2" t="n">
        <v>288</v>
      </c>
      <c r="G47" s="3" t="n">
        <f aca="false">IFERROR(E47/F47," ")</f>
        <v>0.0173611111111111</v>
      </c>
      <c r="H47" s="8" t="s">
        <v>12</v>
      </c>
    </row>
    <row r="48" customFormat="false" ht="14.9" hidden="false" customHeight="false" outlineLevel="0" collapsed="false">
      <c r="A48" s="1" t="s">
        <v>62</v>
      </c>
      <c r="B48" s="1" t="s">
        <v>37</v>
      </c>
      <c r="D48" s="1" t="s">
        <v>38</v>
      </c>
      <c r="E48" s="2" t="n">
        <v>4</v>
      </c>
      <c r="F48" s="2" t="n">
        <v>231</v>
      </c>
      <c r="G48" s="3" t="n">
        <f aca="false">IFERROR(E48/F48," ")</f>
        <v>0.0173160173160173</v>
      </c>
      <c r="H48" s="8" t="s">
        <v>12</v>
      </c>
    </row>
    <row r="49" customFormat="false" ht="14.9" hidden="false" customHeight="false" outlineLevel="0" collapsed="false">
      <c r="A49" s="1" t="s">
        <v>63</v>
      </c>
      <c r="B49" s="1" t="s">
        <v>37</v>
      </c>
      <c r="D49" s="1" t="s">
        <v>38</v>
      </c>
      <c r="E49" s="2" t="n">
        <v>3</v>
      </c>
      <c r="F49" s="2" t="n">
        <v>181</v>
      </c>
      <c r="G49" s="3" t="n">
        <f aca="false">IFERROR(E49/F49," ")</f>
        <v>0.0165745856353591</v>
      </c>
      <c r="H49" s="8" t="s">
        <v>12</v>
      </c>
    </row>
    <row r="50" customFormat="false" ht="14.9" hidden="false" customHeight="false" outlineLevel="0" collapsed="false">
      <c r="A50" s="1" t="s">
        <v>64</v>
      </c>
      <c r="B50" s="1" t="s">
        <v>37</v>
      </c>
      <c r="D50" s="1" t="s">
        <v>38</v>
      </c>
      <c r="E50" s="2" t="n">
        <v>3</v>
      </c>
      <c r="F50" s="2" t="n">
        <v>182</v>
      </c>
      <c r="G50" s="3" t="n">
        <f aca="false">IFERROR(E50/F50," ")</f>
        <v>0.0164835164835165</v>
      </c>
      <c r="H50" s="8" t="s">
        <v>12</v>
      </c>
    </row>
    <row r="51" customFormat="false" ht="14.9" hidden="false" customHeight="false" outlineLevel="0" collapsed="false">
      <c r="A51" s="1" t="s">
        <v>65</v>
      </c>
      <c r="B51" s="1" t="s">
        <v>37</v>
      </c>
      <c r="D51" s="1" t="s">
        <v>38</v>
      </c>
      <c r="E51" s="2" t="n">
        <v>4</v>
      </c>
      <c r="F51" s="2" t="n">
        <v>250</v>
      </c>
      <c r="G51" s="3" t="n">
        <f aca="false">IFERROR(E51/F51," ")</f>
        <v>0.016</v>
      </c>
      <c r="H51" s="8" t="s">
        <v>12</v>
      </c>
    </row>
    <row r="52" customFormat="false" ht="14.9" hidden="false" customHeight="false" outlineLevel="0" collapsed="false">
      <c r="A52" s="1" t="s">
        <v>66</v>
      </c>
      <c r="B52" s="1" t="s">
        <v>37</v>
      </c>
      <c r="D52" s="1" t="s">
        <v>38</v>
      </c>
      <c r="E52" s="2" t="n">
        <v>5</v>
      </c>
      <c r="F52" s="2" t="n">
        <v>320</v>
      </c>
      <c r="G52" s="3" t="n">
        <f aca="false">IFERROR(E52/F52," ")</f>
        <v>0.015625</v>
      </c>
      <c r="H52" s="8" t="s">
        <v>12</v>
      </c>
    </row>
    <row r="53" customFormat="false" ht="14.9" hidden="false" customHeight="false" outlineLevel="0" collapsed="false">
      <c r="A53" s="1" t="s">
        <v>67</v>
      </c>
      <c r="B53" s="1" t="s">
        <v>37</v>
      </c>
      <c r="D53" s="1" t="s">
        <v>38</v>
      </c>
      <c r="E53" s="2" t="n">
        <v>4</v>
      </c>
      <c r="F53" s="2" t="n">
        <v>266</v>
      </c>
      <c r="G53" s="3" t="n">
        <f aca="false">IFERROR(E53/F53," ")</f>
        <v>0.0150375939849624</v>
      </c>
      <c r="H53" s="8" t="s">
        <v>12</v>
      </c>
    </row>
    <row r="54" customFormat="false" ht="14.9" hidden="false" customHeight="false" outlineLevel="0" collapsed="false">
      <c r="A54" s="1" t="s">
        <v>68</v>
      </c>
      <c r="B54" s="1" t="s">
        <v>37</v>
      </c>
      <c r="D54" s="1" t="s">
        <v>38</v>
      </c>
      <c r="E54" s="2" t="n">
        <v>5</v>
      </c>
      <c r="F54" s="2" t="n">
        <v>336</v>
      </c>
      <c r="G54" s="3" t="n">
        <f aca="false">IFERROR(E54/F54," ")</f>
        <v>0.0148809523809524</v>
      </c>
      <c r="H54" s="8" t="s">
        <v>12</v>
      </c>
    </row>
    <row r="55" customFormat="false" ht="14.9" hidden="false" customHeight="false" outlineLevel="0" collapsed="false">
      <c r="A55" s="1" t="s">
        <v>69</v>
      </c>
      <c r="B55" s="1" t="s">
        <v>37</v>
      </c>
      <c r="D55" s="1" t="s">
        <v>38</v>
      </c>
      <c r="E55" s="2" t="n">
        <v>2</v>
      </c>
      <c r="F55" s="2" t="n">
        <v>137</v>
      </c>
      <c r="G55" s="3" t="n">
        <f aca="false">IFERROR(E55/F55," ")</f>
        <v>0.0145985401459854</v>
      </c>
      <c r="H55" s="8" t="s">
        <v>12</v>
      </c>
    </row>
    <row r="56" customFormat="false" ht="14.9" hidden="false" customHeight="false" outlineLevel="0" collapsed="false">
      <c r="A56" s="1" t="s">
        <v>70</v>
      </c>
      <c r="B56" s="1" t="s">
        <v>37</v>
      </c>
      <c r="D56" s="1" t="s">
        <v>38</v>
      </c>
      <c r="E56" s="2" t="n">
        <v>4</v>
      </c>
      <c r="F56" s="2" t="n">
        <v>276</v>
      </c>
      <c r="G56" s="3" t="n">
        <f aca="false">IFERROR(E56/F56," ")</f>
        <v>0.0144927536231884</v>
      </c>
      <c r="H56" s="8" t="s">
        <v>12</v>
      </c>
    </row>
    <row r="57" customFormat="false" ht="14.9" hidden="false" customHeight="false" outlineLevel="0" collapsed="false">
      <c r="A57" s="1" t="s">
        <v>71</v>
      </c>
      <c r="B57" s="1" t="s">
        <v>37</v>
      </c>
      <c r="D57" s="1" t="s">
        <v>38</v>
      </c>
      <c r="E57" s="2" t="n">
        <v>3</v>
      </c>
      <c r="F57" s="2" t="n">
        <v>208</v>
      </c>
      <c r="G57" s="3" t="n">
        <f aca="false">IFERROR(E57/F57," ")</f>
        <v>0.0144230769230769</v>
      </c>
      <c r="H57" s="8" t="s">
        <v>12</v>
      </c>
    </row>
    <row r="58" customFormat="false" ht="14.9" hidden="false" customHeight="false" outlineLevel="0" collapsed="false">
      <c r="A58" s="1" t="s">
        <v>72</v>
      </c>
      <c r="D58" s="1" t="s">
        <v>38</v>
      </c>
      <c r="E58" s="2" t="n">
        <v>3</v>
      </c>
      <c r="F58" s="2" t="n">
        <v>213</v>
      </c>
      <c r="G58" s="3" t="n">
        <f aca="false">IFERROR(E58/F58," ")</f>
        <v>0.0140845070422535</v>
      </c>
      <c r="H58" s="8" t="s">
        <v>12</v>
      </c>
    </row>
    <row r="59" customFormat="false" ht="14.9" hidden="false" customHeight="false" outlineLevel="0" collapsed="false">
      <c r="A59" s="1" t="s">
        <v>73</v>
      </c>
      <c r="D59" s="1" t="s">
        <v>38</v>
      </c>
      <c r="E59" s="2" t="n">
        <v>3</v>
      </c>
      <c r="F59" s="2" t="n">
        <v>220</v>
      </c>
      <c r="G59" s="3" t="n">
        <f aca="false">IFERROR(E59/F59," ")</f>
        <v>0.0136363636363636</v>
      </c>
      <c r="H59" s="8" t="s">
        <v>12</v>
      </c>
    </row>
    <row r="60" customFormat="false" ht="14.9" hidden="false" customHeight="false" outlineLevel="0" collapsed="false">
      <c r="A60" s="1" t="s">
        <v>74</v>
      </c>
      <c r="D60" s="1" t="s">
        <v>38</v>
      </c>
      <c r="E60" s="2" t="n">
        <v>5</v>
      </c>
      <c r="F60" s="2" t="n">
        <v>368</v>
      </c>
      <c r="G60" s="3" t="n">
        <f aca="false">IFERROR(E60/F60," ")</f>
        <v>0.0135869565217391</v>
      </c>
      <c r="H60" s="8" t="s">
        <v>12</v>
      </c>
    </row>
    <row r="61" customFormat="false" ht="14.9" hidden="false" customHeight="false" outlineLevel="0" collapsed="false">
      <c r="A61" s="1" t="s">
        <v>75</v>
      </c>
      <c r="D61" s="1" t="s">
        <v>38</v>
      </c>
      <c r="E61" s="2" t="n">
        <v>3</v>
      </c>
      <c r="F61" s="2" t="n">
        <v>224</v>
      </c>
      <c r="G61" s="3" t="n">
        <f aca="false">IFERROR(E61/F61," ")</f>
        <v>0.0133928571428571</v>
      </c>
      <c r="H61" s="8" t="s">
        <v>12</v>
      </c>
    </row>
    <row r="62" customFormat="false" ht="14.9" hidden="false" customHeight="false" outlineLevel="0" collapsed="false">
      <c r="A62" s="1" t="s">
        <v>76</v>
      </c>
      <c r="D62" s="1" t="s">
        <v>38</v>
      </c>
      <c r="E62" s="2" t="n">
        <v>4</v>
      </c>
      <c r="F62" s="2" t="n">
        <v>320</v>
      </c>
      <c r="G62" s="3" t="n">
        <f aca="false">IFERROR(E62/F62," ")</f>
        <v>0.0125</v>
      </c>
      <c r="H62" s="8" t="s">
        <v>12</v>
      </c>
    </row>
    <row r="63" customFormat="false" ht="14.9" hidden="false" customHeight="false" outlineLevel="0" collapsed="false">
      <c r="A63" s="1" t="s">
        <v>77</v>
      </c>
      <c r="D63" s="1" t="s">
        <v>38</v>
      </c>
      <c r="E63" s="2" t="n">
        <v>2</v>
      </c>
      <c r="F63" s="2" t="n">
        <v>160</v>
      </c>
      <c r="G63" s="3" t="n">
        <f aca="false">IFERROR(E63/F63," ")</f>
        <v>0.0125</v>
      </c>
      <c r="H63" s="8" t="s">
        <v>12</v>
      </c>
    </row>
    <row r="64" customFormat="false" ht="14.9" hidden="false" customHeight="false" outlineLevel="0" collapsed="false">
      <c r="A64" s="1" t="s">
        <v>78</v>
      </c>
      <c r="D64" s="1" t="s">
        <v>38</v>
      </c>
      <c r="E64" s="2" t="n">
        <v>4</v>
      </c>
      <c r="F64" s="2" t="n">
        <v>320</v>
      </c>
      <c r="G64" s="3" t="n">
        <f aca="false">IFERROR(E64/F64," ")</f>
        <v>0.0125</v>
      </c>
      <c r="H64" s="8" t="s">
        <v>12</v>
      </c>
    </row>
    <row r="65" customFormat="false" ht="14.9" hidden="false" customHeight="false" outlineLevel="0" collapsed="false">
      <c r="A65" s="1" t="s">
        <v>79</v>
      </c>
      <c r="D65" s="1" t="s">
        <v>38</v>
      </c>
      <c r="E65" s="2" t="n">
        <v>4</v>
      </c>
      <c r="F65" s="2" t="n">
        <v>336</v>
      </c>
      <c r="G65" s="3" t="n">
        <f aca="false">IFERROR(E65/F65," ")</f>
        <v>0.0119047619047619</v>
      </c>
      <c r="H65" s="8" t="s">
        <v>12</v>
      </c>
    </row>
    <row r="66" customFormat="false" ht="14.9" hidden="false" customHeight="false" outlineLevel="0" collapsed="false">
      <c r="A66" s="1" t="s">
        <v>80</v>
      </c>
      <c r="D66" s="1" t="s">
        <v>38</v>
      </c>
      <c r="E66" s="2" t="n">
        <v>3</v>
      </c>
      <c r="F66" s="2" t="n">
        <v>256</v>
      </c>
      <c r="G66" s="3" t="n">
        <f aca="false">IFERROR(E66/F66," ")</f>
        <v>0.01171875</v>
      </c>
      <c r="H66" s="8" t="s">
        <v>12</v>
      </c>
    </row>
    <row r="67" customFormat="false" ht="14.9" hidden="false" customHeight="false" outlineLevel="0" collapsed="false">
      <c r="A67" s="1" t="s">
        <v>81</v>
      </c>
      <c r="D67" s="1" t="s">
        <v>38</v>
      </c>
      <c r="E67" s="2" t="n">
        <v>3</v>
      </c>
      <c r="F67" s="2" t="n">
        <v>256</v>
      </c>
      <c r="G67" s="3" t="n">
        <f aca="false">IFERROR(E67/F67," ")</f>
        <v>0.01171875</v>
      </c>
      <c r="H67" s="8" t="s">
        <v>12</v>
      </c>
    </row>
    <row r="68" customFormat="false" ht="14.9" hidden="false" customHeight="false" outlineLevel="0" collapsed="false">
      <c r="A68" s="1" t="s">
        <v>82</v>
      </c>
      <c r="D68" s="1" t="s">
        <v>38</v>
      </c>
      <c r="E68" s="2" t="n">
        <v>3</v>
      </c>
      <c r="F68" s="2" t="n">
        <v>256</v>
      </c>
      <c r="G68" s="3" t="n">
        <f aca="false">IFERROR(E68/F68," ")</f>
        <v>0.01171875</v>
      </c>
      <c r="H68" s="8" t="s">
        <v>12</v>
      </c>
    </row>
    <row r="69" customFormat="false" ht="14.9" hidden="false" customHeight="false" outlineLevel="0" collapsed="false">
      <c r="A69" s="1" t="s">
        <v>83</v>
      </c>
      <c r="D69" s="1" t="s">
        <v>38</v>
      </c>
      <c r="E69" s="2" t="n">
        <v>5</v>
      </c>
      <c r="F69" s="2" t="n">
        <v>432</v>
      </c>
      <c r="G69" s="3" t="n">
        <f aca="false">IFERROR(E69/F69," ")</f>
        <v>0.0115740740740741</v>
      </c>
      <c r="H69" s="8" t="s">
        <v>12</v>
      </c>
    </row>
    <row r="70" customFormat="false" ht="14.9" hidden="false" customHeight="false" outlineLevel="0" collapsed="false">
      <c r="A70" s="1" t="s">
        <v>84</v>
      </c>
      <c r="D70" s="1" t="s">
        <v>38</v>
      </c>
      <c r="E70" s="2" t="n">
        <v>3</v>
      </c>
      <c r="F70" s="2" t="n">
        <v>264</v>
      </c>
      <c r="G70" s="3" t="n">
        <f aca="false">IFERROR(E70/F70," ")</f>
        <v>0.0113636363636364</v>
      </c>
      <c r="H70" s="8" t="s">
        <v>12</v>
      </c>
    </row>
    <row r="71" customFormat="false" ht="14.9" hidden="false" customHeight="false" outlineLevel="0" collapsed="false">
      <c r="A71" s="1" t="s">
        <v>85</v>
      </c>
      <c r="D71" s="1" t="s">
        <v>38</v>
      </c>
      <c r="E71" s="2" t="n">
        <v>4</v>
      </c>
      <c r="F71" s="2" t="n">
        <v>352</v>
      </c>
      <c r="G71" s="3" t="n">
        <f aca="false">IFERROR(E71/F71," ")</f>
        <v>0.0113636363636364</v>
      </c>
      <c r="H71" s="8" t="s">
        <v>12</v>
      </c>
    </row>
    <row r="72" customFormat="false" ht="14.9" hidden="false" customHeight="false" outlineLevel="0" collapsed="false">
      <c r="A72" s="1" t="s">
        <v>86</v>
      </c>
      <c r="D72" s="1" t="s">
        <v>38</v>
      </c>
      <c r="E72" s="2" t="n">
        <v>3</v>
      </c>
      <c r="F72" s="2" t="n">
        <v>266</v>
      </c>
      <c r="G72" s="3" t="n">
        <f aca="false">IFERROR(E72/F72," ")</f>
        <v>0.0112781954887218</v>
      </c>
      <c r="H72" s="8" t="s">
        <v>12</v>
      </c>
    </row>
    <row r="73" customFormat="false" ht="14.9" hidden="false" customHeight="false" outlineLevel="0" collapsed="false">
      <c r="A73" s="1" t="s">
        <v>87</v>
      </c>
      <c r="D73" s="1" t="s">
        <v>38</v>
      </c>
      <c r="E73" s="2" t="n">
        <v>4</v>
      </c>
      <c r="F73" s="2" t="n">
        <v>368</v>
      </c>
      <c r="G73" s="3" t="n">
        <f aca="false">IFERROR(E73/F73," ")</f>
        <v>0.0108695652173913</v>
      </c>
      <c r="H73" s="8" t="s">
        <v>12</v>
      </c>
    </row>
    <row r="74" customFormat="false" ht="14.9" hidden="false" customHeight="false" outlineLevel="0" collapsed="false">
      <c r="A74" s="1" t="s">
        <v>88</v>
      </c>
      <c r="D74" s="1" t="s">
        <v>38</v>
      </c>
      <c r="E74" s="2" t="n">
        <v>3</v>
      </c>
      <c r="F74" s="2" t="n">
        <v>277</v>
      </c>
      <c r="G74" s="3" t="n">
        <f aca="false">IFERROR(E74/F74," ")</f>
        <v>0.0108303249097473</v>
      </c>
      <c r="H74" s="8" t="s">
        <v>12</v>
      </c>
    </row>
    <row r="75" customFormat="false" ht="14.9" hidden="false" customHeight="false" outlineLevel="0" collapsed="false">
      <c r="A75" s="1" t="s">
        <v>89</v>
      </c>
      <c r="D75" s="1" t="s">
        <v>38</v>
      </c>
      <c r="E75" s="2" t="n">
        <v>4</v>
      </c>
      <c r="F75" s="2" t="n">
        <v>384</v>
      </c>
      <c r="G75" s="3" t="n">
        <f aca="false">IFERROR(E75/F75," ")</f>
        <v>0.0104166666666667</v>
      </c>
      <c r="H75" s="8" t="s">
        <v>12</v>
      </c>
    </row>
    <row r="76" customFormat="false" ht="14.9" hidden="false" customHeight="false" outlineLevel="0" collapsed="false">
      <c r="A76" s="1" t="s">
        <v>90</v>
      </c>
      <c r="D76" s="1" t="s">
        <v>38</v>
      </c>
      <c r="E76" s="2" t="n">
        <v>4</v>
      </c>
      <c r="F76" s="2" t="n">
        <v>384</v>
      </c>
      <c r="G76" s="3" t="n">
        <f aca="false">IFERROR(E76/F76," ")</f>
        <v>0.0104166666666667</v>
      </c>
      <c r="H76" s="8" t="s">
        <v>12</v>
      </c>
    </row>
    <row r="77" customFormat="false" ht="14.9" hidden="false" customHeight="false" outlineLevel="0" collapsed="false">
      <c r="A77" s="1" t="s">
        <v>91</v>
      </c>
      <c r="D77" s="1" t="s">
        <v>38</v>
      </c>
      <c r="E77" s="2" t="n">
        <v>3</v>
      </c>
      <c r="F77" s="2" t="n">
        <v>288</v>
      </c>
      <c r="G77" s="3" t="n">
        <f aca="false">IFERROR(E77/F77," ")</f>
        <v>0.0104166666666667</v>
      </c>
      <c r="H77" s="8" t="s">
        <v>12</v>
      </c>
    </row>
    <row r="78" customFormat="false" ht="14.9" hidden="false" customHeight="false" outlineLevel="0" collapsed="false">
      <c r="A78" s="1" t="s">
        <v>92</v>
      </c>
      <c r="D78" s="1" t="s">
        <v>38</v>
      </c>
      <c r="E78" s="2" t="n">
        <v>3</v>
      </c>
      <c r="F78" s="2" t="n">
        <v>288</v>
      </c>
      <c r="G78" s="3" t="n">
        <f aca="false">IFERROR(E78/F78," ")</f>
        <v>0.0104166666666667</v>
      </c>
      <c r="H78" s="8" t="s">
        <v>12</v>
      </c>
    </row>
    <row r="79" customFormat="false" ht="14.9" hidden="false" customHeight="false" outlineLevel="0" collapsed="false">
      <c r="A79" s="1" t="s">
        <v>93</v>
      </c>
      <c r="D79" s="1" t="s">
        <v>38</v>
      </c>
      <c r="E79" s="2" t="n">
        <v>5</v>
      </c>
      <c r="F79" s="2" t="n">
        <v>499</v>
      </c>
      <c r="G79" s="3" t="n">
        <f aca="false">IFERROR(E79/F79," ")</f>
        <v>0.0100200400801603</v>
      </c>
      <c r="H79" s="8" t="s">
        <v>12</v>
      </c>
    </row>
    <row r="80" customFormat="false" ht="14.9" hidden="false" customHeight="false" outlineLevel="0" collapsed="false">
      <c r="A80" s="1" t="s">
        <v>94</v>
      </c>
      <c r="D80" s="1" t="s">
        <v>38</v>
      </c>
      <c r="E80" s="2" t="n">
        <v>4</v>
      </c>
      <c r="F80" s="2" t="n">
        <v>400</v>
      </c>
      <c r="G80" s="3" t="n">
        <f aca="false">IFERROR(E80/F80," ")</f>
        <v>0.01</v>
      </c>
      <c r="H80" s="8" t="s">
        <v>12</v>
      </c>
    </row>
    <row r="81" customFormat="false" ht="14.9" hidden="false" customHeight="false" outlineLevel="0" collapsed="false">
      <c r="A81" s="1" t="s">
        <v>95</v>
      </c>
      <c r="D81" s="1" t="s">
        <v>38</v>
      </c>
      <c r="E81" s="2" t="n">
        <v>2</v>
      </c>
      <c r="F81" s="2" t="n">
        <v>200</v>
      </c>
      <c r="G81" s="3" t="n">
        <f aca="false">IFERROR(E81/F81," ")</f>
        <v>0.01</v>
      </c>
      <c r="H81" s="8" t="s">
        <v>12</v>
      </c>
    </row>
    <row r="82" customFormat="false" ht="14.9" hidden="false" customHeight="false" outlineLevel="0" collapsed="false">
      <c r="A82" s="1" t="s">
        <v>96</v>
      </c>
      <c r="D82" s="1" t="s">
        <v>38</v>
      </c>
      <c r="E82" s="2" t="n">
        <v>4</v>
      </c>
      <c r="F82" s="2" t="n">
        <v>400</v>
      </c>
      <c r="G82" s="3" t="n">
        <f aca="false">IFERROR(E82/F82," ")</f>
        <v>0.01</v>
      </c>
      <c r="H82" s="8" t="s">
        <v>12</v>
      </c>
    </row>
    <row r="83" customFormat="false" ht="14.9" hidden="false" customHeight="false" outlineLevel="0" collapsed="false">
      <c r="A83" s="1" t="s">
        <v>97</v>
      </c>
      <c r="D83" s="1" t="s">
        <v>38</v>
      </c>
      <c r="E83" s="2" t="n">
        <v>4</v>
      </c>
      <c r="F83" s="2" t="n">
        <v>416</v>
      </c>
      <c r="G83" s="3" t="n">
        <f aca="false">IFERROR(E83/F83," ")</f>
        <v>0.00961538461538462</v>
      </c>
      <c r="H83" s="8" t="s">
        <v>12</v>
      </c>
    </row>
    <row r="84" customFormat="false" ht="14.9" hidden="false" customHeight="false" outlineLevel="0" collapsed="false">
      <c r="A84" s="1" t="s">
        <v>98</v>
      </c>
      <c r="D84" s="1" t="s">
        <v>38</v>
      </c>
      <c r="E84" s="9" t="n">
        <v>2</v>
      </c>
      <c r="F84" s="2" t="n">
        <v>208</v>
      </c>
      <c r="G84" s="3" t="n">
        <f aca="false">IFERROR(E84/F84," ")</f>
        <v>0.00961538461538462</v>
      </c>
      <c r="H84" s="8" t="s">
        <v>12</v>
      </c>
    </row>
    <row r="85" customFormat="false" ht="14.9" hidden="false" customHeight="false" outlineLevel="0" collapsed="false">
      <c r="A85" s="1" t="s">
        <v>99</v>
      </c>
      <c r="D85" s="1" t="s">
        <v>38</v>
      </c>
      <c r="E85" s="2" t="n">
        <v>2</v>
      </c>
      <c r="F85" s="2" t="n">
        <v>208</v>
      </c>
      <c r="G85" s="3" t="n">
        <f aca="false">IFERROR(E85/F85," ")</f>
        <v>0.00961538461538462</v>
      </c>
      <c r="H85" s="8" t="s">
        <v>12</v>
      </c>
    </row>
    <row r="86" customFormat="false" ht="14.9" hidden="false" customHeight="false" outlineLevel="0" collapsed="false">
      <c r="A86" s="1" t="s">
        <v>100</v>
      </c>
      <c r="D86" s="1" t="s">
        <v>38</v>
      </c>
      <c r="E86" s="2" t="n">
        <v>3</v>
      </c>
      <c r="F86" s="2" t="n">
        <v>312</v>
      </c>
      <c r="G86" s="3" t="n">
        <f aca="false">IFERROR(E86/F86," ")</f>
        <v>0.00961538461538462</v>
      </c>
      <c r="H86" s="8" t="s">
        <v>12</v>
      </c>
    </row>
    <row r="87" customFormat="false" ht="14.9" hidden="false" customHeight="false" outlineLevel="0" collapsed="false">
      <c r="A87" s="1" t="s">
        <v>101</v>
      </c>
      <c r="D87" s="1" t="s">
        <v>38</v>
      </c>
      <c r="E87" s="2" t="n">
        <v>3</v>
      </c>
      <c r="F87" s="2" t="n">
        <v>316</v>
      </c>
      <c r="G87" s="3" t="n">
        <f aca="false">IFERROR(E87/F87," ")</f>
        <v>0.00949367088607595</v>
      </c>
      <c r="H87" s="8" t="s">
        <v>12</v>
      </c>
    </row>
    <row r="88" customFormat="false" ht="14.9" hidden="false" customHeight="false" outlineLevel="0" collapsed="false">
      <c r="A88" s="1" t="s">
        <v>102</v>
      </c>
      <c r="D88" s="1" t="s">
        <v>38</v>
      </c>
      <c r="E88" s="2" t="n">
        <v>4</v>
      </c>
      <c r="F88" s="2" t="n">
        <v>432</v>
      </c>
      <c r="G88" s="3" t="n">
        <f aca="false">IFERROR(E88/F88," ")</f>
        <v>0.00925925925925926</v>
      </c>
      <c r="H88" s="8" t="s">
        <v>12</v>
      </c>
    </row>
    <row r="89" customFormat="false" ht="14.9" hidden="false" customHeight="false" outlineLevel="0" collapsed="false">
      <c r="A89" s="1" t="s">
        <v>103</v>
      </c>
      <c r="D89" s="1" t="s">
        <v>38</v>
      </c>
      <c r="E89" s="2" t="n">
        <v>4</v>
      </c>
      <c r="F89" s="2" t="n">
        <v>436</v>
      </c>
      <c r="G89" s="3" t="n">
        <f aca="false">IFERROR(E89/F89," ")</f>
        <v>0.0091743119266055</v>
      </c>
      <c r="H89" s="8" t="s">
        <v>12</v>
      </c>
    </row>
    <row r="90" customFormat="false" ht="14.9" hidden="false" customHeight="false" outlineLevel="0" collapsed="false">
      <c r="A90" s="1" t="s">
        <v>104</v>
      </c>
      <c r="D90" s="1" t="s">
        <v>38</v>
      </c>
      <c r="E90" s="2" t="n">
        <v>4</v>
      </c>
      <c r="F90" s="2" t="n">
        <v>444</v>
      </c>
      <c r="G90" s="3" t="n">
        <f aca="false">IFERROR(E90/F90," ")</f>
        <v>0.00900900900900901</v>
      </c>
      <c r="H90" s="8" t="s">
        <v>12</v>
      </c>
    </row>
    <row r="91" customFormat="false" ht="14.9" hidden="false" customHeight="false" outlineLevel="0" collapsed="false">
      <c r="A91" s="1" t="s">
        <v>105</v>
      </c>
      <c r="D91" s="1" t="s">
        <v>38</v>
      </c>
      <c r="E91" s="2" t="n">
        <v>3</v>
      </c>
      <c r="F91" s="2" t="n">
        <v>336</v>
      </c>
      <c r="G91" s="3" t="n">
        <f aca="false">IFERROR(E91/F91," ")</f>
        <v>0.00892857142857143</v>
      </c>
      <c r="H91" s="8" t="s">
        <v>12</v>
      </c>
    </row>
    <row r="92" customFormat="false" ht="14.9" hidden="false" customHeight="false" outlineLevel="0" collapsed="false">
      <c r="A92" s="1" t="s">
        <v>106</v>
      </c>
      <c r="D92" s="1" t="s">
        <v>38</v>
      </c>
      <c r="E92" s="2" t="n">
        <v>2</v>
      </c>
      <c r="F92" s="2" t="n">
        <v>225</v>
      </c>
      <c r="G92" s="3" t="n">
        <f aca="false">IFERROR(E92/F92," ")</f>
        <v>0.00888888888888889</v>
      </c>
      <c r="H92" s="8" t="s">
        <v>12</v>
      </c>
    </row>
    <row r="93" customFormat="false" ht="14.9" hidden="false" customHeight="false" outlineLevel="0" collapsed="false">
      <c r="A93" s="1" t="s">
        <v>107</v>
      </c>
      <c r="D93" s="1" t="s">
        <v>38</v>
      </c>
      <c r="E93" s="2" t="n">
        <v>3</v>
      </c>
      <c r="F93" s="2" t="n">
        <v>344</v>
      </c>
      <c r="G93" s="3" t="n">
        <f aca="false">IFERROR(E93/F93," ")</f>
        <v>0.00872093023255814</v>
      </c>
      <c r="H93" s="8" t="s">
        <v>12</v>
      </c>
    </row>
    <row r="94" customFormat="false" ht="14.9" hidden="false" customHeight="false" outlineLevel="0" collapsed="false">
      <c r="A94" s="1" t="s">
        <v>108</v>
      </c>
      <c r="D94" s="1" t="s">
        <v>38</v>
      </c>
      <c r="E94" s="2" t="n">
        <v>4</v>
      </c>
      <c r="F94" s="2" t="n">
        <v>464</v>
      </c>
      <c r="G94" s="3" t="n">
        <f aca="false">IFERROR(E94/F94," ")</f>
        <v>0.00862068965517241</v>
      </c>
      <c r="H94" s="8" t="s">
        <v>12</v>
      </c>
    </row>
    <row r="95" customFormat="false" ht="14.9" hidden="false" customHeight="false" outlineLevel="0" collapsed="false">
      <c r="A95" s="1" t="s">
        <v>109</v>
      </c>
      <c r="D95" s="1" t="s">
        <v>38</v>
      </c>
      <c r="E95" s="2" t="n">
        <v>4</v>
      </c>
      <c r="F95" s="2" t="n">
        <v>464</v>
      </c>
      <c r="G95" s="3" t="n">
        <f aca="false">IFERROR(E95/F95," ")</f>
        <v>0.00862068965517241</v>
      </c>
      <c r="H95" s="8" t="s">
        <v>12</v>
      </c>
    </row>
    <row r="96" customFormat="false" ht="14.9" hidden="false" customHeight="false" outlineLevel="0" collapsed="false">
      <c r="A96" s="1" t="s">
        <v>110</v>
      </c>
      <c r="D96" s="1" t="s">
        <v>38</v>
      </c>
      <c r="E96" s="2" t="n">
        <v>4</v>
      </c>
      <c r="F96" s="2" t="n">
        <v>464</v>
      </c>
      <c r="G96" s="3" t="n">
        <f aca="false">IFERROR(E96/F96," ")</f>
        <v>0.00862068965517241</v>
      </c>
      <c r="H96" s="8" t="s">
        <v>12</v>
      </c>
    </row>
    <row r="97" customFormat="false" ht="14.9" hidden="false" customHeight="false" outlineLevel="0" collapsed="false">
      <c r="A97" s="1" t="s">
        <v>111</v>
      </c>
      <c r="D97" s="1" t="s">
        <v>38</v>
      </c>
      <c r="E97" s="2" t="n">
        <v>3</v>
      </c>
      <c r="F97" s="2" t="n">
        <v>352</v>
      </c>
      <c r="G97" s="3" t="n">
        <f aca="false">IFERROR(E97/F97," ")</f>
        <v>0.00852272727272727</v>
      </c>
      <c r="H97" s="8" t="s">
        <v>12</v>
      </c>
    </row>
    <row r="98" customFormat="false" ht="14.9" hidden="false" customHeight="false" outlineLevel="0" collapsed="false">
      <c r="A98" s="1" t="s">
        <v>112</v>
      </c>
      <c r="D98" s="1" t="s">
        <v>38</v>
      </c>
      <c r="E98" s="2" t="n">
        <v>3</v>
      </c>
      <c r="F98" s="2" t="n">
        <v>352</v>
      </c>
      <c r="G98" s="3" t="n">
        <f aca="false">IFERROR(E98/F98," ")</f>
        <v>0.00852272727272727</v>
      </c>
      <c r="H98" s="8" t="s">
        <v>12</v>
      </c>
    </row>
    <row r="99" customFormat="false" ht="14.9" hidden="false" customHeight="false" outlineLevel="0" collapsed="false">
      <c r="A99" s="1" t="s">
        <v>113</v>
      </c>
      <c r="D99" s="1" t="s">
        <v>38</v>
      </c>
      <c r="E99" s="2" t="n">
        <v>4</v>
      </c>
      <c r="F99" s="2" t="n">
        <v>480</v>
      </c>
      <c r="G99" s="3" t="n">
        <f aca="false">IFERROR(E99/F99," ")</f>
        <v>0.00833333333333333</v>
      </c>
      <c r="H99" s="8" t="s">
        <v>12</v>
      </c>
    </row>
    <row r="100" customFormat="false" ht="14.9" hidden="false" customHeight="false" outlineLevel="0" collapsed="false">
      <c r="A100" s="1" t="s">
        <v>114</v>
      </c>
      <c r="D100" s="1" t="s">
        <v>38</v>
      </c>
      <c r="E100" s="2" t="n">
        <v>3</v>
      </c>
      <c r="F100" s="2" t="n">
        <v>360</v>
      </c>
      <c r="G100" s="3" t="n">
        <f aca="false">IFERROR(E100/F100," ")</f>
        <v>0.00833333333333333</v>
      </c>
      <c r="H100" s="8" t="s">
        <v>12</v>
      </c>
    </row>
    <row r="101" customFormat="false" ht="14.9" hidden="false" customHeight="false" outlineLevel="0" collapsed="false">
      <c r="A101" s="1" t="s">
        <v>115</v>
      </c>
      <c r="D101" s="1" t="s">
        <v>38</v>
      </c>
      <c r="E101" s="2" t="n">
        <v>2</v>
      </c>
      <c r="F101" s="2" t="n">
        <v>240</v>
      </c>
      <c r="G101" s="3" t="n">
        <f aca="false">IFERROR(E101/F101," ")</f>
        <v>0.00833333333333333</v>
      </c>
      <c r="H101" s="8" t="s">
        <v>12</v>
      </c>
    </row>
    <row r="102" customFormat="false" ht="14.9" hidden="false" customHeight="false" outlineLevel="0" collapsed="false">
      <c r="A102" s="1" t="s">
        <v>116</v>
      </c>
      <c r="D102" s="1" t="s">
        <v>38</v>
      </c>
      <c r="E102" s="2" t="n">
        <v>3</v>
      </c>
      <c r="F102" s="2" t="n">
        <v>368</v>
      </c>
      <c r="G102" s="3" t="n">
        <f aca="false">IFERROR(E102/F102," ")</f>
        <v>0.00815217391304348</v>
      </c>
      <c r="H102" s="8" t="s">
        <v>12</v>
      </c>
    </row>
    <row r="103" customFormat="false" ht="14.9" hidden="false" customHeight="false" outlineLevel="0" collapsed="false">
      <c r="A103" s="1" t="s">
        <v>117</v>
      </c>
      <c r="D103" s="1" t="s">
        <v>38</v>
      </c>
      <c r="E103" s="2" t="n">
        <v>3</v>
      </c>
      <c r="F103" s="2" t="n">
        <v>368</v>
      </c>
      <c r="G103" s="3" t="n">
        <f aca="false">IFERROR(E103/F103," ")</f>
        <v>0.00815217391304348</v>
      </c>
      <c r="H103" s="8" t="s">
        <v>12</v>
      </c>
    </row>
    <row r="104" customFormat="false" ht="14.9" hidden="false" customHeight="false" outlineLevel="0" collapsed="false">
      <c r="A104" s="1" t="s">
        <v>118</v>
      </c>
      <c r="D104" s="1" t="s">
        <v>38</v>
      </c>
      <c r="E104" s="2" t="n">
        <v>3</v>
      </c>
      <c r="F104" s="2" t="n">
        <v>371</v>
      </c>
      <c r="G104" s="3" t="n">
        <f aca="false">IFERROR(E104/F104," ")</f>
        <v>0.00808625336927224</v>
      </c>
      <c r="H104" s="8" t="s">
        <v>12</v>
      </c>
    </row>
    <row r="105" customFormat="false" ht="14.9" hidden="false" customHeight="false" outlineLevel="0" collapsed="false">
      <c r="A105" s="1" t="s">
        <v>119</v>
      </c>
      <c r="D105" s="1" t="s">
        <v>38</v>
      </c>
      <c r="E105" s="2" t="n">
        <v>2</v>
      </c>
      <c r="F105" s="2" t="n">
        <v>250</v>
      </c>
      <c r="G105" s="3" t="n">
        <f aca="false">IFERROR(E105/F105," ")</f>
        <v>0.008</v>
      </c>
      <c r="H105" s="8" t="s">
        <v>12</v>
      </c>
    </row>
    <row r="106" customFormat="false" ht="14.9" hidden="false" customHeight="false" outlineLevel="0" collapsed="false">
      <c r="A106" s="1" t="s">
        <v>120</v>
      </c>
      <c r="D106" s="1" t="s">
        <v>38</v>
      </c>
      <c r="E106" s="2" t="n">
        <v>4</v>
      </c>
      <c r="F106" s="2" t="n">
        <v>512</v>
      </c>
      <c r="G106" s="3" t="n">
        <f aca="false">IFERROR(E106/F106," ")</f>
        <v>0.0078125</v>
      </c>
      <c r="H106" s="8" t="s">
        <v>12</v>
      </c>
    </row>
    <row r="107" customFormat="false" ht="14.9" hidden="false" customHeight="false" outlineLevel="0" collapsed="false">
      <c r="A107" s="1" t="s">
        <v>121</v>
      </c>
      <c r="D107" s="1" t="s">
        <v>38</v>
      </c>
      <c r="E107" s="2" t="n">
        <v>4</v>
      </c>
      <c r="F107" s="2" t="n">
        <v>512</v>
      </c>
      <c r="G107" s="3" t="n">
        <f aca="false">IFERROR(E107/F107," ")</f>
        <v>0.0078125</v>
      </c>
      <c r="H107" s="8" t="s">
        <v>12</v>
      </c>
    </row>
    <row r="108" customFormat="false" ht="14.9" hidden="false" customHeight="false" outlineLevel="0" collapsed="false">
      <c r="A108" s="1" t="s">
        <v>122</v>
      </c>
      <c r="D108" s="1" t="s">
        <v>38</v>
      </c>
      <c r="E108" s="2" t="n">
        <v>2</v>
      </c>
      <c r="F108" s="2" t="n">
        <v>264</v>
      </c>
      <c r="G108" s="3" t="n">
        <f aca="false">IFERROR(E108/F108," ")</f>
        <v>0.00757575757575758</v>
      </c>
      <c r="H108" s="8" t="s">
        <v>12</v>
      </c>
    </row>
    <row r="109" customFormat="false" ht="14.9" hidden="false" customHeight="false" outlineLevel="0" collapsed="false">
      <c r="A109" s="1" t="s">
        <v>123</v>
      </c>
      <c r="D109" s="1" t="s">
        <v>38</v>
      </c>
      <c r="E109" s="2" t="n">
        <v>3</v>
      </c>
      <c r="F109" s="2" t="n">
        <v>400</v>
      </c>
      <c r="G109" s="3" t="n">
        <f aca="false">IFERROR(E109/F109," ")</f>
        <v>0.0075</v>
      </c>
      <c r="H109" s="8" t="s">
        <v>12</v>
      </c>
    </row>
    <row r="110" customFormat="false" ht="14.9" hidden="false" customHeight="false" outlineLevel="0" collapsed="false">
      <c r="A110" s="1" t="s">
        <v>124</v>
      </c>
      <c r="D110" s="1" t="s">
        <v>38</v>
      </c>
      <c r="E110" s="2" t="n">
        <v>4</v>
      </c>
      <c r="F110" s="2" t="n">
        <v>544</v>
      </c>
      <c r="G110" s="3" t="n">
        <f aca="false">IFERROR(E110/F110," ")</f>
        <v>0.00735294117647059</v>
      </c>
      <c r="H110" s="8" t="s">
        <v>12</v>
      </c>
    </row>
    <row r="111" customFormat="false" ht="14.9" hidden="false" customHeight="false" outlineLevel="0" collapsed="false">
      <c r="A111" s="1" t="s">
        <v>125</v>
      </c>
      <c r="D111" s="1" t="s">
        <v>38</v>
      </c>
      <c r="E111" s="2" t="n">
        <v>3</v>
      </c>
      <c r="F111" s="2" t="n">
        <v>416</v>
      </c>
      <c r="G111" s="3" t="n">
        <f aca="false">IFERROR(E111/F111," ")</f>
        <v>0.00721153846153846</v>
      </c>
      <c r="H111" s="8" t="s">
        <v>12</v>
      </c>
    </row>
    <row r="112" customFormat="false" ht="14.9" hidden="false" customHeight="false" outlineLevel="0" collapsed="false">
      <c r="A112" s="1" t="s">
        <v>126</v>
      </c>
      <c r="D112" s="1" t="s">
        <v>38</v>
      </c>
      <c r="E112" s="2" t="n">
        <v>4</v>
      </c>
      <c r="F112" s="2" t="n">
        <v>560</v>
      </c>
      <c r="G112" s="3" t="n">
        <f aca="false">IFERROR(E112/F112," ")</f>
        <v>0.00714285714285714</v>
      </c>
      <c r="H112" s="8" t="s">
        <v>12</v>
      </c>
    </row>
    <row r="113" customFormat="false" ht="14.9" hidden="false" customHeight="false" outlineLevel="0" collapsed="false">
      <c r="A113" s="1" t="s">
        <v>127</v>
      </c>
      <c r="D113" s="1" t="s">
        <v>38</v>
      </c>
      <c r="E113" s="2" t="n">
        <v>2</v>
      </c>
      <c r="F113" s="2" t="n">
        <v>284</v>
      </c>
      <c r="G113" s="3" t="n">
        <f aca="false">IFERROR(E113/F113," ")</f>
        <v>0.00704225352112676</v>
      </c>
      <c r="H113" s="8" t="s">
        <v>12</v>
      </c>
    </row>
    <row r="114" customFormat="false" ht="14.9" hidden="false" customHeight="false" outlineLevel="0" collapsed="false">
      <c r="A114" s="1" t="s">
        <v>128</v>
      </c>
      <c r="D114" s="1" t="s">
        <v>38</v>
      </c>
      <c r="E114" s="2" t="n">
        <v>2</v>
      </c>
      <c r="F114" s="2" t="n">
        <v>288</v>
      </c>
      <c r="G114" s="3" t="n">
        <f aca="false">IFERROR(E114/F114," ")</f>
        <v>0.00694444444444444</v>
      </c>
      <c r="H114" s="8" t="s">
        <v>12</v>
      </c>
    </row>
    <row r="115" customFormat="false" ht="14.9" hidden="false" customHeight="false" outlineLevel="0" collapsed="false">
      <c r="A115" s="1" t="s">
        <v>129</v>
      </c>
      <c r="D115" s="1" t="s">
        <v>38</v>
      </c>
      <c r="E115" s="2" t="n">
        <v>5</v>
      </c>
      <c r="F115" s="2" t="n">
        <v>736</v>
      </c>
      <c r="G115" s="3" t="n">
        <f aca="false">IFERROR(E115/F115," ")</f>
        <v>0.00679347826086956</v>
      </c>
      <c r="H115" s="8" t="s">
        <v>12</v>
      </c>
    </row>
    <row r="116" customFormat="false" ht="14.9" hidden="false" customHeight="false" outlineLevel="0" collapsed="false">
      <c r="A116" s="1" t="s">
        <v>130</v>
      </c>
      <c r="D116" s="1" t="s">
        <v>38</v>
      </c>
      <c r="E116" s="2" t="n">
        <v>1</v>
      </c>
      <c r="F116" s="2" t="n">
        <v>148</v>
      </c>
      <c r="G116" s="3" t="n">
        <f aca="false">IFERROR(E116/F116," ")</f>
        <v>0.00675675675675676</v>
      </c>
      <c r="H116" s="8" t="s">
        <v>12</v>
      </c>
    </row>
    <row r="117" customFormat="false" ht="14.9" hidden="false" customHeight="false" outlineLevel="0" collapsed="false">
      <c r="A117" s="1" t="s">
        <v>131</v>
      </c>
      <c r="D117" s="1" t="s">
        <v>38</v>
      </c>
      <c r="E117" s="2" t="n">
        <v>3</v>
      </c>
      <c r="F117" s="2" t="n">
        <v>450</v>
      </c>
      <c r="G117" s="3" t="n">
        <f aca="false">IFERROR(E117/F117," ")</f>
        <v>0.00666666666666667</v>
      </c>
      <c r="H117" s="8" t="s">
        <v>12</v>
      </c>
    </row>
    <row r="118" customFormat="false" ht="14.9" hidden="false" customHeight="false" outlineLevel="0" collapsed="false">
      <c r="A118" s="1" t="s">
        <v>132</v>
      </c>
      <c r="D118" s="1" t="s">
        <v>38</v>
      </c>
      <c r="E118" s="2" t="n">
        <v>3</v>
      </c>
      <c r="F118" s="2" t="n">
        <v>464</v>
      </c>
      <c r="G118" s="3" t="n">
        <f aca="false">IFERROR(E118/F118," ")</f>
        <v>0.00646551724137931</v>
      </c>
      <c r="H118" s="8" t="s">
        <v>12</v>
      </c>
    </row>
    <row r="119" customFormat="false" ht="14.9" hidden="false" customHeight="false" outlineLevel="0" collapsed="false">
      <c r="A119" s="1" t="s">
        <v>133</v>
      </c>
      <c r="D119" s="1" t="s">
        <v>38</v>
      </c>
      <c r="E119" s="2" t="n">
        <v>3</v>
      </c>
      <c r="F119" s="2" t="n">
        <v>480</v>
      </c>
      <c r="G119" s="3" t="n">
        <f aca="false">IFERROR(E119/F119," ")</f>
        <v>0.00625</v>
      </c>
      <c r="H119" s="8" t="s">
        <v>12</v>
      </c>
    </row>
    <row r="120" customFormat="false" ht="14.9" hidden="false" customHeight="false" outlineLevel="0" collapsed="false">
      <c r="A120" s="1" t="s">
        <v>134</v>
      </c>
      <c r="D120" s="1" t="s">
        <v>38</v>
      </c>
      <c r="E120" s="2" t="n">
        <v>3</v>
      </c>
      <c r="F120" s="2" t="n">
        <v>480</v>
      </c>
      <c r="G120" s="3" t="n">
        <f aca="false">IFERROR(E120/F120," ")</f>
        <v>0.00625</v>
      </c>
      <c r="H120" s="8" t="s">
        <v>12</v>
      </c>
    </row>
    <row r="121" customFormat="false" ht="14.9" hidden="false" customHeight="false" outlineLevel="0" collapsed="false">
      <c r="A121" s="1" t="s">
        <v>135</v>
      </c>
      <c r="D121" s="1" t="s">
        <v>38</v>
      </c>
      <c r="E121" s="2" t="n">
        <v>3</v>
      </c>
      <c r="F121" s="2" t="n">
        <v>488</v>
      </c>
      <c r="G121" s="3" t="n">
        <f aca="false">IFERROR(E121/F121," ")</f>
        <v>0.00614754098360656</v>
      </c>
      <c r="H121" s="8" t="s">
        <v>12</v>
      </c>
    </row>
    <row r="122" customFormat="false" ht="14.9" hidden="false" customHeight="false" outlineLevel="0" collapsed="false">
      <c r="A122" s="1" t="s">
        <v>136</v>
      </c>
      <c r="D122" s="1" t="s">
        <v>38</v>
      </c>
      <c r="E122" s="2" t="n">
        <v>2</v>
      </c>
      <c r="F122" s="2" t="n">
        <v>332</v>
      </c>
      <c r="G122" s="3" t="n">
        <f aca="false">IFERROR(E122/F122," ")</f>
        <v>0.00602409638554217</v>
      </c>
      <c r="H122" s="8" t="s">
        <v>12</v>
      </c>
    </row>
    <row r="123" customFormat="false" ht="14.9" hidden="false" customHeight="false" outlineLevel="0" collapsed="false">
      <c r="A123" s="1" t="s">
        <v>137</v>
      </c>
      <c r="D123" s="1" t="s">
        <v>38</v>
      </c>
      <c r="E123" s="2" t="n">
        <v>2</v>
      </c>
      <c r="F123" s="2" t="n">
        <v>332</v>
      </c>
      <c r="G123" s="3" t="n">
        <f aca="false">IFERROR(E123/F123," ")</f>
        <v>0.00602409638554217</v>
      </c>
      <c r="H123" s="8" t="s">
        <v>12</v>
      </c>
    </row>
    <row r="124" customFormat="false" ht="14.9" hidden="false" customHeight="false" outlineLevel="0" collapsed="false">
      <c r="A124" s="1" t="s">
        <v>138</v>
      </c>
      <c r="D124" s="1" t="s">
        <v>38</v>
      </c>
      <c r="E124" s="2" t="n">
        <v>2</v>
      </c>
      <c r="F124" s="2" t="n">
        <v>344</v>
      </c>
      <c r="G124" s="3" t="n">
        <f aca="false">IFERROR(E124/F124," ")</f>
        <v>0.00581395348837209</v>
      </c>
      <c r="H124" s="8" t="s">
        <v>12</v>
      </c>
    </row>
    <row r="125" customFormat="false" ht="14.9" hidden="false" customHeight="false" outlineLevel="0" collapsed="false">
      <c r="A125" s="1" t="s">
        <v>139</v>
      </c>
      <c r="D125" s="1" t="s">
        <v>38</v>
      </c>
      <c r="E125" s="2" t="n">
        <v>4</v>
      </c>
      <c r="F125" s="2" t="n">
        <v>704</v>
      </c>
      <c r="G125" s="3" t="n">
        <f aca="false">IFERROR(E125/F125," ")</f>
        <v>0.00568181818181818</v>
      </c>
      <c r="H125" s="8" t="s">
        <v>12</v>
      </c>
    </row>
    <row r="126" customFormat="false" ht="14.9" hidden="false" customHeight="false" outlineLevel="0" collapsed="false">
      <c r="A126" s="1" t="s">
        <v>140</v>
      </c>
      <c r="D126" s="1" t="s">
        <v>38</v>
      </c>
      <c r="E126" s="2" t="n">
        <v>2</v>
      </c>
      <c r="F126" s="2" t="n">
        <v>366</v>
      </c>
      <c r="G126" s="3" t="n">
        <f aca="false">IFERROR(E126/F126," ")</f>
        <v>0.00546448087431694</v>
      </c>
      <c r="H126" s="0" t="s">
        <v>12</v>
      </c>
    </row>
    <row r="127" customFormat="false" ht="14.9" hidden="false" customHeight="false" outlineLevel="0" collapsed="false">
      <c r="A127" s="1" t="s">
        <v>141</v>
      </c>
      <c r="D127" s="1" t="s">
        <v>38</v>
      </c>
      <c r="E127" s="2" t="n">
        <v>4</v>
      </c>
      <c r="F127" s="2" t="n">
        <v>736</v>
      </c>
      <c r="G127" s="3" t="n">
        <f aca="false">IFERROR(E127/F127," ")</f>
        <v>0.00543478260869565</v>
      </c>
      <c r="H127" s="8" t="s">
        <v>12</v>
      </c>
    </row>
    <row r="128" customFormat="false" ht="14.9" hidden="false" customHeight="false" outlineLevel="0" collapsed="false">
      <c r="A128" s="1" t="s">
        <v>142</v>
      </c>
      <c r="D128" s="1" t="s">
        <v>38</v>
      </c>
      <c r="E128" s="2" t="n">
        <v>2</v>
      </c>
      <c r="F128" s="2" t="n">
        <v>373</v>
      </c>
      <c r="G128" s="3" t="n">
        <f aca="false">IFERROR(E128/F128," ")</f>
        <v>0.00536193029490617</v>
      </c>
      <c r="H128" s="8" t="s">
        <v>12</v>
      </c>
    </row>
    <row r="129" customFormat="false" ht="14.9" hidden="false" customHeight="false" outlineLevel="0" collapsed="false">
      <c r="A129" s="1" t="s">
        <v>143</v>
      </c>
      <c r="D129" s="1" t="s">
        <v>38</v>
      </c>
      <c r="E129" s="2" t="n">
        <v>3</v>
      </c>
      <c r="F129" s="2" t="n">
        <v>560</v>
      </c>
      <c r="G129" s="3" t="n">
        <f aca="false">IFERROR(E129/F129," ")</f>
        <v>0.00535714285714286</v>
      </c>
      <c r="H129" s="8" t="s">
        <v>12</v>
      </c>
    </row>
    <row r="130" customFormat="false" ht="14.9" hidden="false" customHeight="false" outlineLevel="0" collapsed="false">
      <c r="A130" s="1" t="s">
        <v>144</v>
      </c>
      <c r="D130" s="1" t="s">
        <v>38</v>
      </c>
      <c r="E130" s="2" t="n">
        <v>3</v>
      </c>
      <c r="F130" s="2" t="n">
        <v>560</v>
      </c>
      <c r="G130" s="3" t="n">
        <f aca="false">IFERROR(E130/F130," ")</f>
        <v>0.00535714285714286</v>
      </c>
      <c r="H130" s="0" t="s">
        <v>12</v>
      </c>
    </row>
    <row r="131" customFormat="false" ht="14.9" hidden="false" customHeight="false" outlineLevel="0" collapsed="false">
      <c r="A131" s="1" t="s">
        <v>145</v>
      </c>
      <c r="D131" s="1" t="s">
        <v>38</v>
      </c>
      <c r="E131" s="2" t="n">
        <v>3</v>
      </c>
      <c r="F131" s="2" t="n">
        <v>576</v>
      </c>
      <c r="G131" s="3" t="n">
        <f aca="false">IFERROR(E131/F131," ")</f>
        <v>0.00520833333333333</v>
      </c>
      <c r="H131" s="0" t="s">
        <v>12</v>
      </c>
    </row>
    <row r="132" customFormat="false" ht="14.9" hidden="false" customHeight="false" outlineLevel="0" collapsed="false">
      <c r="A132" s="1" t="s">
        <v>146</v>
      </c>
      <c r="D132" s="1" t="s">
        <v>38</v>
      </c>
      <c r="E132" s="2" t="n">
        <v>2</v>
      </c>
      <c r="F132" s="2" t="n">
        <v>384</v>
      </c>
      <c r="G132" s="3" t="n">
        <f aca="false">IFERROR(E132/F132," ")</f>
        <v>0.00520833333333333</v>
      </c>
      <c r="H132" s="0" t="s">
        <v>12</v>
      </c>
    </row>
    <row r="133" customFormat="false" ht="14.9" hidden="false" customHeight="false" outlineLevel="0" collapsed="false">
      <c r="A133" s="1" t="s">
        <v>147</v>
      </c>
      <c r="D133" s="1" t="s">
        <v>38</v>
      </c>
      <c r="E133" s="2" t="n">
        <v>1</v>
      </c>
      <c r="F133" s="2" t="n">
        <v>200</v>
      </c>
      <c r="G133" s="3" t="n">
        <f aca="false">IFERROR(E133/F133," ")</f>
        <v>0.005</v>
      </c>
      <c r="H133" s="0" t="s">
        <v>12</v>
      </c>
    </row>
    <row r="134" customFormat="false" ht="14.9" hidden="false" customHeight="false" outlineLevel="0" collapsed="false">
      <c r="A134" s="1" t="s">
        <v>148</v>
      </c>
      <c r="D134" s="1" t="s">
        <v>38</v>
      </c>
      <c r="E134" s="2" t="n">
        <v>2</v>
      </c>
      <c r="F134" s="2" t="n">
        <v>400</v>
      </c>
      <c r="G134" s="3" t="n">
        <f aca="false">IFERROR(E134/F134," ")</f>
        <v>0.005</v>
      </c>
      <c r="H134" s="0" t="s">
        <v>12</v>
      </c>
    </row>
    <row r="135" customFormat="false" ht="14.9" hidden="false" customHeight="false" outlineLevel="0" collapsed="false">
      <c r="A135" s="1" t="s">
        <v>149</v>
      </c>
      <c r="D135" s="1" t="s">
        <v>38</v>
      </c>
      <c r="E135" s="2" t="n">
        <v>2</v>
      </c>
      <c r="F135" s="2" t="n">
        <v>416</v>
      </c>
      <c r="G135" s="3" t="n">
        <f aca="false">IFERROR(E135/F135," ")</f>
        <v>0.00480769230769231</v>
      </c>
      <c r="H135" s="0" t="s">
        <v>12</v>
      </c>
    </row>
    <row r="136" customFormat="false" ht="14.9" hidden="false" customHeight="false" outlineLevel="0" collapsed="false">
      <c r="A136" s="1" t="s">
        <v>150</v>
      </c>
      <c r="D136" s="1" t="s">
        <v>38</v>
      </c>
      <c r="E136" s="2" t="n">
        <v>2</v>
      </c>
      <c r="F136" s="2" t="n">
        <v>416</v>
      </c>
      <c r="G136" s="3" t="n">
        <f aca="false">IFERROR(E136/F136," ")</f>
        <v>0.00480769230769231</v>
      </c>
      <c r="H136" s="0" t="s">
        <v>12</v>
      </c>
    </row>
    <row r="137" customFormat="false" ht="14.9" hidden="false" customHeight="false" outlineLevel="0" collapsed="false">
      <c r="A137" s="1" t="s">
        <v>151</v>
      </c>
      <c r="D137" s="1" t="s">
        <v>38</v>
      </c>
      <c r="E137" s="2" t="n">
        <v>4</v>
      </c>
      <c r="F137" s="2" t="n">
        <v>848</v>
      </c>
      <c r="G137" s="3" t="n">
        <f aca="false">IFERROR(E137/F137," ")</f>
        <v>0.00471698113207547</v>
      </c>
      <c r="H137" s="0" t="s">
        <v>12</v>
      </c>
    </row>
    <row r="138" customFormat="false" ht="14.9" hidden="false" customHeight="false" outlineLevel="0" collapsed="false">
      <c r="A138" s="1" t="s">
        <v>152</v>
      </c>
      <c r="D138" s="1" t="s">
        <v>38</v>
      </c>
      <c r="E138" s="2" t="n">
        <v>2</v>
      </c>
      <c r="F138" s="2" t="n">
        <v>440</v>
      </c>
      <c r="G138" s="3" t="n">
        <f aca="false">IFERROR(E138/F138," ")</f>
        <v>0.00454545454545455</v>
      </c>
      <c r="H138" s="0" t="s">
        <v>12</v>
      </c>
    </row>
    <row r="139" customFormat="false" ht="14.9" hidden="false" customHeight="false" outlineLevel="0" collapsed="false">
      <c r="A139" s="1" t="s">
        <v>153</v>
      </c>
      <c r="D139" s="1" t="s">
        <v>38</v>
      </c>
      <c r="E139" s="2" t="n">
        <v>2</v>
      </c>
      <c r="F139" s="2" t="n">
        <v>456</v>
      </c>
      <c r="G139" s="3" t="n">
        <f aca="false">IFERROR(E139/F139," ")</f>
        <v>0.0043859649122807</v>
      </c>
      <c r="H139" s="0" t="s">
        <v>12</v>
      </c>
    </row>
    <row r="140" customFormat="false" ht="14.9" hidden="false" customHeight="false" outlineLevel="0" collapsed="false">
      <c r="A140" s="1" t="s">
        <v>154</v>
      </c>
      <c r="D140" s="1" t="s">
        <v>38</v>
      </c>
      <c r="E140" s="2" t="n">
        <v>2</v>
      </c>
      <c r="F140" s="2" t="n">
        <v>528</v>
      </c>
      <c r="G140" s="3" t="n">
        <f aca="false">IFERROR(E140/F140," ")</f>
        <v>0.00378787878787879</v>
      </c>
      <c r="H140" s="0" t="s">
        <v>12</v>
      </c>
    </row>
    <row r="141" customFormat="false" ht="14.9" hidden="false" customHeight="false" outlineLevel="0" collapsed="false">
      <c r="A141" s="1" t="s">
        <v>155</v>
      </c>
      <c r="D141" s="1" t="s">
        <v>38</v>
      </c>
      <c r="E141" s="2" t="n">
        <v>2</v>
      </c>
      <c r="F141" s="2" t="n">
        <v>544</v>
      </c>
      <c r="G141" s="3" t="n">
        <f aca="false">IFERROR(E141/F141," ")</f>
        <v>0.00367647058823529</v>
      </c>
      <c r="H141" s="0" t="s">
        <v>12</v>
      </c>
    </row>
    <row r="142" customFormat="false" ht="14.9" hidden="false" customHeight="false" outlineLevel="0" collapsed="false">
      <c r="A142" s="1" t="s">
        <v>156</v>
      </c>
      <c r="D142" s="1" t="s">
        <v>38</v>
      </c>
      <c r="E142" s="2" t="n">
        <v>3</v>
      </c>
      <c r="F142" s="2" t="n">
        <v>848</v>
      </c>
      <c r="G142" s="3" t="n">
        <f aca="false">IFERROR(E142/F142," ")</f>
        <v>0.0035377358490566</v>
      </c>
      <c r="H142" s="0" t="s">
        <v>12</v>
      </c>
    </row>
    <row r="143" customFormat="false" ht="13.8" hidden="true" customHeight="false" outlineLevel="0" collapsed="false">
      <c r="G143" s="3" t="str">
        <f aca="false">IFERROR(E143/F143," ")</f>
        <v> </v>
      </c>
    </row>
    <row r="144" customFormat="false" ht="13.8" hidden="true" customHeight="false" outlineLevel="0" collapsed="false">
      <c r="G144" s="3" t="str">
        <f aca="false">IFERROR(E144/F144," ")</f>
        <v> </v>
      </c>
    </row>
    <row r="145" customFormat="false" ht="13.8" hidden="true" customHeight="false" outlineLevel="0" collapsed="false">
      <c r="G145" s="3" t="str">
        <f aca="false">IFERROR(E145/F145," ")</f>
        <v> </v>
      </c>
    </row>
    <row r="146" customFormat="false" ht="13.8" hidden="true" customHeight="false" outlineLevel="0" collapsed="false">
      <c r="G146" s="3" t="str">
        <f aca="false">IFERROR(E146/F146," ")</f>
        <v> </v>
      </c>
    </row>
    <row r="147" customFormat="false" ht="13.8" hidden="true" customHeight="false" outlineLevel="0" collapsed="false">
      <c r="G147" s="3" t="str">
        <f aca="false">IFERROR(E147/F147," ")</f>
        <v> </v>
      </c>
    </row>
    <row r="148" customFormat="false" ht="13.8" hidden="true" customHeight="false" outlineLevel="0" collapsed="false">
      <c r="G148" s="3" t="str">
        <f aca="false">IFERROR(E148/F148," ")</f>
        <v> </v>
      </c>
    </row>
    <row r="149" customFormat="false" ht="13.8" hidden="true" customHeight="false" outlineLevel="0" collapsed="false">
      <c r="G149" s="3" t="str">
        <f aca="false">IFERROR(E149/F149," ")</f>
        <v> </v>
      </c>
    </row>
    <row r="150" customFormat="false" ht="13.8" hidden="true" customHeight="false" outlineLevel="0" collapsed="false">
      <c r="G150" s="3" t="str">
        <f aca="false">IFERROR(E150/F150," ")</f>
        <v> </v>
      </c>
    </row>
    <row r="151" customFormat="false" ht="13.8" hidden="true" customHeight="false" outlineLevel="0" collapsed="false">
      <c r="G151" s="3" t="str">
        <f aca="false">IFERROR(E151/F151," ")</f>
        <v> </v>
      </c>
    </row>
    <row r="152" customFormat="false" ht="13.8" hidden="true" customHeight="false" outlineLevel="0" collapsed="false">
      <c r="G152" s="3" t="str">
        <f aca="false">IFERROR(E152/F152," ")</f>
        <v> </v>
      </c>
    </row>
    <row r="153" customFormat="false" ht="13.8" hidden="true" customHeight="false" outlineLevel="0" collapsed="false">
      <c r="G153" s="3" t="str">
        <f aca="false">IFERROR(E153/F153," ")</f>
        <v> </v>
      </c>
    </row>
    <row r="154" customFormat="false" ht="13.8" hidden="true" customHeight="false" outlineLevel="0" collapsed="false">
      <c r="G154" s="3" t="str">
        <f aca="false">IFERROR(E154/F154," ")</f>
        <v> </v>
      </c>
    </row>
    <row r="155" customFormat="false" ht="13.8" hidden="true" customHeight="false" outlineLevel="0" collapsed="false">
      <c r="G155" s="3" t="str">
        <f aca="false">IFERROR(E155/F155," ")</f>
        <v> </v>
      </c>
    </row>
    <row r="156" customFormat="false" ht="13.8" hidden="true" customHeight="false" outlineLevel="0" collapsed="false">
      <c r="G156" s="3" t="str">
        <f aca="false">IFERROR(E156/F156," ")</f>
        <v> </v>
      </c>
    </row>
    <row r="157" customFormat="false" ht="13.8" hidden="true" customHeight="false" outlineLevel="0" collapsed="false">
      <c r="G157" s="3" t="str">
        <f aca="false">IFERROR(E157/F157," ")</f>
        <v> </v>
      </c>
    </row>
    <row r="158" customFormat="false" ht="13.8" hidden="true" customHeight="false" outlineLevel="0" collapsed="false">
      <c r="G158" s="3" t="str">
        <f aca="false">IFERROR(E158/F158," ")</f>
        <v> </v>
      </c>
    </row>
    <row r="159" customFormat="false" ht="13.8" hidden="true" customHeight="false" outlineLevel="0" collapsed="false">
      <c r="G159" s="3" t="str">
        <f aca="false">IFERROR(E159/F159," ")</f>
        <v> </v>
      </c>
    </row>
    <row r="160" customFormat="false" ht="13.8" hidden="true" customHeight="false" outlineLevel="0" collapsed="false">
      <c r="G160" s="3" t="str">
        <f aca="false">IFERROR(E160/F160," ")</f>
        <v> </v>
      </c>
    </row>
    <row r="161" customFormat="false" ht="13.8" hidden="true" customHeight="false" outlineLevel="0" collapsed="false">
      <c r="G161" s="3" t="str">
        <f aca="false">IFERROR(E161/F161," ")</f>
        <v> </v>
      </c>
    </row>
    <row r="162" customFormat="false" ht="13.8" hidden="true" customHeight="false" outlineLevel="0" collapsed="false">
      <c r="G162" s="3" t="str">
        <f aca="false">IFERROR(E162/F162," ")</f>
        <v> </v>
      </c>
    </row>
    <row r="163" customFormat="false" ht="13.8" hidden="true" customHeight="false" outlineLevel="0" collapsed="false">
      <c r="G163" s="3" t="str">
        <f aca="false">IFERROR(E163/F163," ")</f>
        <v> </v>
      </c>
    </row>
    <row r="164" customFormat="false" ht="13.8" hidden="true" customHeight="false" outlineLevel="0" collapsed="false">
      <c r="G164" s="3" t="str">
        <f aca="false">IFERROR(E164/F164," ")</f>
        <v> </v>
      </c>
    </row>
    <row r="165" customFormat="false" ht="13.8" hidden="true" customHeight="false" outlineLevel="0" collapsed="false">
      <c r="G165" s="3" t="str">
        <f aca="false">IFERROR(E165/F165," ")</f>
        <v> </v>
      </c>
    </row>
    <row r="166" customFormat="false" ht="13.8" hidden="true" customHeight="false" outlineLevel="0" collapsed="false">
      <c r="G166" s="3" t="str">
        <f aca="false">IFERROR(E166/F166," ")</f>
        <v> </v>
      </c>
    </row>
    <row r="167" customFormat="false" ht="13.8" hidden="true" customHeight="false" outlineLevel="0" collapsed="false">
      <c r="G167" s="3" t="str">
        <f aca="false">IFERROR(E167/F167," ")</f>
        <v> </v>
      </c>
    </row>
    <row r="168" customFormat="false" ht="13.8" hidden="true" customHeight="false" outlineLevel="0" collapsed="false">
      <c r="G168" s="3" t="str">
        <f aca="false">IFERROR(E168/F168," ")</f>
        <v> </v>
      </c>
    </row>
    <row r="169" customFormat="false" ht="13.8" hidden="true" customHeight="false" outlineLevel="0" collapsed="false">
      <c r="G169" s="3" t="str">
        <f aca="false">IFERROR(E169/F169," ")</f>
        <v> </v>
      </c>
    </row>
    <row r="170" customFormat="false" ht="13.8" hidden="true" customHeight="false" outlineLevel="0" collapsed="false">
      <c r="G170" s="3" t="str">
        <f aca="false">IFERROR(E170/F170," ")</f>
        <v> </v>
      </c>
    </row>
    <row r="171" customFormat="false" ht="13.8" hidden="true" customHeight="false" outlineLevel="0" collapsed="false">
      <c r="G171" s="3" t="str">
        <f aca="false">IFERROR(E171/F171," ")</f>
        <v> </v>
      </c>
    </row>
    <row r="172" customFormat="false" ht="13.8" hidden="true" customHeight="false" outlineLevel="0" collapsed="false">
      <c r="G172" s="3" t="str">
        <f aca="false">IFERROR(E172/F172," ")</f>
        <v> </v>
      </c>
    </row>
    <row r="173" customFormat="false" ht="13.8" hidden="true" customHeight="false" outlineLevel="0" collapsed="false">
      <c r="G173" s="3" t="str">
        <f aca="false">IFERROR(E173/F173," ")</f>
        <v> </v>
      </c>
    </row>
    <row r="174" customFormat="false" ht="13.8" hidden="true" customHeight="false" outlineLevel="0" collapsed="false">
      <c r="G174" s="3" t="str">
        <f aca="false">IFERROR(E174/F174," ")</f>
        <v> </v>
      </c>
    </row>
    <row r="175" customFormat="false" ht="13.8" hidden="true" customHeight="false" outlineLevel="0" collapsed="false">
      <c r="G175" s="3" t="str">
        <f aca="false">IFERROR(E175/F175," ")</f>
        <v> </v>
      </c>
    </row>
    <row r="176" customFormat="false" ht="13.8" hidden="true" customHeight="false" outlineLevel="0" collapsed="false">
      <c r="G176" s="3" t="str">
        <f aca="false">IFERROR(E176/F176," ")</f>
        <v> </v>
      </c>
    </row>
    <row r="177" customFormat="false" ht="13.8" hidden="true" customHeight="false" outlineLevel="0" collapsed="false">
      <c r="G177" s="3" t="str">
        <f aca="false">IFERROR(E177/F177," ")</f>
        <v> </v>
      </c>
    </row>
    <row r="178" customFormat="false" ht="13.8" hidden="true" customHeight="false" outlineLevel="0" collapsed="false">
      <c r="G178" s="3" t="str">
        <f aca="false">IFERROR(E178/F178," ")</f>
        <v> </v>
      </c>
    </row>
    <row r="179" customFormat="false" ht="13.8" hidden="true" customHeight="false" outlineLevel="0" collapsed="false">
      <c r="G179" s="3" t="str">
        <f aca="false">IFERROR(E179/F179," ")</f>
        <v> </v>
      </c>
    </row>
    <row r="180" customFormat="false" ht="13.8" hidden="true" customHeight="false" outlineLevel="0" collapsed="false">
      <c r="G180" s="3" t="str">
        <f aca="false">IFERROR(E180/F180," ")</f>
        <v> </v>
      </c>
    </row>
    <row r="181" customFormat="false" ht="13.8" hidden="true" customHeight="false" outlineLevel="0" collapsed="false">
      <c r="G181" s="3" t="str">
        <f aca="false">IFERROR(E181/F181," ")</f>
        <v> </v>
      </c>
    </row>
    <row r="182" customFormat="false" ht="13.8" hidden="true" customHeight="false" outlineLevel="0" collapsed="false">
      <c r="G182" s="3" t="str">
        <f aca="false">IFERROR(E182/F182," ")</f>
        <v> </v>
      </c>
    </row>
    <row r="183" customFormat="false" ht="13.8" hidden="true" customHeight="false" outlineLevel="0" collapsed="false">
      <c r="G183" s="3" t="str">
        <f aca="false">IFERROR(E183/F183," ")</f>
        <v> </v>
      </c>
    </row>
    <row r="184" customFormat="false" ht="13.8" hidden="true" customHeight="false" outlineLevel="0" collapsed="false">
      <c r="G184" s="3" t="str">
        <f aca="false">IFERROR(E184/F184," ")</f>
        <v> </v>
      </c>
    </row>
    <row r="185" customFormat="false" ht="13.8" hidden="true" customHeight="false" outlineLevel="0" collapsed="false">
      <c r="G185" s="3" t="str">
        <f aca="false">IFERROR(E185/F185," ")</f>
        <v> </v>
      </c>
    </row>
    <row r="186" customFormat="false" ht="13.8" hidden="true" customHeight="false" outlineLevel="0" collapsed="false">
      <c r="G186" s="3" t="str">
        <f aca="false">IFERROR(E186/F186," ")</f>
        <v> </v>
      </c>
    </row>
    <row r="187" customFormat="false" ht="13.8" hidden="true" customHeight="false" outlineLevel="0" collapsed="false">
      <c r="G187" s="3" t="str">
        <f aca="false">IFERROR(E187/F187," ")</f>
        <v> </v>
      </c>
    </row>
    <row r="188" customFormat="false" ht="13.8" hidden="true" customHeight="false" outlineLevel="0" collapsed="false">
      <c r="G188" s="3" t="str">
        <f aca="false">IFERROR(E188/F188," ")</f>
        <v> </v>
      </c>
    </row>
    <row r="189" customFormat="false" ht="13.8" hidden="true" customHeight="false" outlineLevel="0" collapsed="false">
      <c r="G189" s="3" t="str">
        <f aca="false">IFERROR(E189/F189," ")</f>
        <v> </v>
      </c>
    </row>
    <row r="190" customFormat="false" ht="13.8" hidden="true" customHeight="false" outlineLevel="0" collapsed="false">
      <c r="G190" s="3" t="str">
        <f aca="false">IFERROR(E190/F190," ")</f>
        <v> </v>
      </c>
    </row>
    <row r="191" customFormat="false" ht="13.8" hidden="true" customHeight="false" outlineLevel="0" collapsed="false">
      <c r="G191" s="3" t="str">
        <f aca="false">IFERROR(E191/F191," ")</f>
        <v> </v>
      </c>
    </row>
    <row r="192" customFormat="false" ht="13.8" hidden="true" customHeight="false" outlineLevel="0" collapsed="false">
      <c r="G192" s="3" t="str">
        <f aca="false">IFERROR(E192/F192," ")</f>
        <v> </v>
      </c>
    </row>
    <row r="193" customFormat="false" ht="13.8" hidden="true" customHeight="false" outlineLevel="0" collapsed="false">
      <c r="G193" s="3" t="str">
        <f aca="false">IFERROR(E193/F193," ")</f>
        <v> </v>
      </c>
    </row>
    <row r="194" customFormat="false" ht="13.8" hidden="true" customHeight="false" outlineLevel="0" collapsed="false">
      <c r="G194" s="3" t="str">
        <f aca="false">IFERROR(E194/F194," ")</f>
        <v> </v>
      </c>
    </row>
    <row r="195" customFormat="false" ht="13.8" hidden="true" customHeight="false" outlineLevel="0" collapsed="false">
      <c r="G195" s="3" t="str">
        <f aca="false">IFERROR(E195/F195," ")</f>
        <v> </v>
      </c>
    </row>
    <row r="196" customFormat="false" ht="13.8" hidden="true" customHeight="false" outlineLevel="0" collapsed="false">
      <c r="G196" s="3" t="str">
        <f aca="false">IFERROR(E196/F196," ")</f>
        <v> </v>
      </c>
    </row>
    <row r="197" customFormat="false" ht="13.8" hidden="true" customHeight="false" outlineLevel="0" collapsed="false">
      <c r="G197" s="3" t="str">
        <f aca="false">IFERROR(E197/F197," ")</f>
        <v> </v>
      </c>
    </row>
    <row r="198" customFormat="false" ht="13.8" hidden="true" customHeight="false" outlineLevel="0" collapsed="false">
      <c r="G198" s="3" t="str">
        <f aca="false">IFERROR(E198/F198," ")</f>
        <v> </v>
      </c>
    </row>
    <row r="199" customFormat="false" ht="13.8" hidden="true" customHeight="false" outlineLevel="0" collapsed="false">
      <c r="G199" s="3" t="str">
        <f aca="false">IFERROR(E199/F199," ")</f>
        <v> </v>
      </c>
    </row>
    <row r="200" customFormat="false" ht="13.8" hidden="true" customHeight="false" outlineLevel="0" collapsed="false">
      <c r="G200" s="3" t="str">
        <f aca="false">IFERROR(E200/F200," ")</f>
        <v> </v>
      </c>
    </row>
    <row r="201" customFormat="false" ht="13.8" hidden="true" customHeight="false" outlineLevel="0" collapsed="false">
      <c r="G201" s="3" t="str">
        <f aca="false">IFERROR(E201/F201," ")</f>
        <v> </v>
      </c>
    </row>
    <row r="202" customFormat="false" ht="13.8" hidden="true" customHeight="false" outlineLevel="0" collapsed="false">
      <c r="G202" s="3" t="str">
        <f aca="false">IFERROR(E202/F202," ")</f>
        <v> </v>
      </c>
    </row>
    <row r="203" customFormat="false" ht="13.8" hidden="true" customHeight="false" outlineLevel="0" collapsed="false">
      <c r="G203" s="3" t="str">
        <f aca="false">IFERROR(E203/F203," ")</f>
        <v> </v>
      </c>
    </row>
    <row r="204" customFormat="false" ht="13.8" hidden="true" customHeight="false" outlineLevel="0" collapsed="false">
      <c r="G204" s="3" t="str">
        <f aca="false">IFERROR(E204/F204," ")</f>
        <v> </v>
      </c>
    </row>
    <row r="205" customFormat="false" ht="13.8" hidden="true" customHeight="false" outlineLevel="0" collapsed="false">
      <c r="G205" s="3" t="str">
        <f aca="false">IFERROR(E205/F205," ")</f>
        <v> </v>
      </c>
    </row>
    <row r="206" customFormat="false" ht="13.8" hidden="true" customHeight="false" outlineLevel="0" collapsed="false">
      <c r="G206" s="3" t="str">
        <f aca="false">IFERROR(E206/F206," ")</f>
        <v> </v>
      </c>
    </row>
    <row r="207" customFormat="false" ht="13.8" hidden="true" customHeight="false" outlineLevel="0" collapsed="false">
      <c r="G207" s="3" t="str">
        <f aca="false">IFERROR(E207/F207," ")</f>
        <v> </v>
      </c>
    </row>
    <row r="208" customFormat="false" ht="13.8" hidden="true" customHeight="false" outlineLevel="0" collapsed="false">
      <c r="G208" s="3" t="str">
        <f aca="false">IFERROR(E208/F208," ")</f>
        <v> </v>
      </c>
    </row>
    <row r="209" customFormat="false" ht="13.8" hidden="true" customHeight="false" outlineLevel="0" collapsed="false">
      <c r="G209" s="3" t="str">
        <f aca="false">IFERROR(E209/F209," ")</f>
        <v> </v>
      </c>
    </row>
    <row r="210" customFormat="false" ht="13.8" hidden="true" customHeight="false" outlineLevel="0" collapsed="false">
      <c r="G210" s="3" t="str">
        <f aca="false">IFERROR(E210/F210," ")</f>
        <v> </v>
      </c>
    </row>
    <row r="211" customFormat="false" ht="13.8" hidden="true" customHeight="false" outlineLevel="0" collapsed="false">
      <c r="G211" s="3" t="str">
        <f aca="false">IFERROR(E211/F211," ")</f>
        <v> </v>
      </c>
    </row>
    <row r="212" customFormat="false" ht="13.8" hidden="true" customHeight="false" outlineLevel="0" collapsed="false">
      <c r="G212" s="3" t="str">
        <f aca="false">IFERROR(E212/F212," ")</f>
        <v> </v>
      </c>
    </row>
    <row r="213" customFormat="false" ht="13.8" hidden="true" customHeight="false" outlineLevel="0" collapsed="false">
      <c r="G213" s="3" t="str">
        <f aca="false">IFERROR(E213/F213," ")</f>
        <v> </v>
      </c>
    </row>
    <row r="214" customFormat="false" ht="13.8" hidden="true" customHeight="false" outlineLevel="0" collapsed="false">
      <c r="G214" s="3" t="str">
        <f aca="false">IFERROR(E214/F214," ")</f>
        <v> </v>
      </c>
    </row>
    <row r="215" customFormat="false" ht="13.8" hidden="true" customHeight="false" outlineLevel="0" collapsed="false">
      <c r="G215" s="3" t="str">
        <f aca="false">IFERROR(E215/F215," ")</f>
        <v> </v>
      </c>
    </row>
    <row r="216" customFormat="false" ht="13.8" hidden="true" customHeight="false" outlineLevel="0" collapsed="false">
      <c r="G216" s="3" t="str">
        <f aca="false">IFERROR(E216/F216," ")</f>
        <v> </v>
      </c>
    </row>
    <row r="217" customFormat="false" ht="13.8" hidden="true" customHeight="false" outlineLevel="0" collapsed="false">
      <c r="G217" s="3" t="str">
        <f aca="false">IFERROR(E217/F217," ")</f>
        <v> </v>
      </c>
    </row>
    <row r="218" customFormat="false" ht="13.8" hidden="true" customHeight="false" outlineLevel="0" collapsed="false">
      <c r="G218" s="3" t="str">
        <f aca="false">IFERROR(E218/F218," ")</f>
        <v> </v>
      </c>
    </row>
    <row r="219" customFormat="false" ht="14.9" hidden="false" customHeight="false" outlineLevel="0" collapsed="false">
      <c r="A219" s="1" t="s">
        <v>157</v>
      </c>
      <c r="D219" s="1" t="s">
        <v>38</v>
      </c>
      <c r="E219" s="2" t="n">
        <v>3</v>
      </c>
      <c r="F219" s="2" t="n">
        <v>864</v>
      </c>
      <c r="G219" s="3" t="n">
        <f aca="false">IFERROR(E219/F219," ")</f>
        <v>0.00347222222222222</v>
      </c>
      <c r="H219" s="0" t="s">
        <v>12</v>
      </c>
    </row>
    <row r="220" customFormat="false" ht="14.9" hidden="false" customHeight="false" outlineLevel="0" collapsed="false">
      <c r="A220" s="1" t="s">
        <v>158</v>
      </c>
      <c r="D220" s="1" t="s">
        <v>38</v>
      </c>
      <c r="E220" s="2" t="n">
        <v>2</v>
      </c>
      <c r="F220" s="2" t="n">
        <v>616</v>
      </c>
      <c r="G220" s="3" t="n">
        <f aca="false">IFERROR(E220/F220," ")</f>
        <v>0.00324675324675325</v>
      </c>
      <c r="H220" s="0" t="s">
        <v>12</v>
      </c>
    </row>
    <row r="221" customFormat="false" ht="14.9" hidden="false" customHeight="false" outlineLevel="0" collapsed="false">
      <c r="A221" s="1" t="s">
        <v>159</v>
      </c>
      <c r="D221" s="1" t="s">
        <v>38</v>
      </c>
      <c r="E221" s="2" t="n">
        <v>1</v>
      </c>
      <c r="F221" s="2" t="n">
        <v>320</v>
      </c>
      <c r="G221" s="3" t="n">
        <f aca="false">IFERROR(E221/F221," ")</f>
        <v>0.003125</v>
      </c>
      <c r="H221" s="0" t="s">
        <v>12</v>
      </c>
    </row>
    <row r="222" customFormat="false" ht="14.9" hidden="false" customHeight="false" outlineLevel="0" collapsed="false">
      <c r="A222" s="1" t="s">
        <v>160</v>
      </c>
      <c r="D222" s="1" t="s">
        <v>38</v>
      </c>
      <c r="E222" s="2" t="n">
        <v>3</v>
      </c>
      <c r="F222" s="2" t="n">
        <v>1280</v>
      </c>
      <c r="G222" s="3" t="n">
        <f aca="false">IFERROR(E222/F222," ")</f>
        <v>0.00234375</v>
      </c>
      <c r="H222" s="0" t="s">
        <v>12</v>
      </c>
    </row>
    <row r="223" customFormat="false" ht="14.9" hidden="true" customHeight="false" outlineLevel="0" collapsed="false">
      <c r="A223" s="1" t="s">
        <v>161</v>
      </c>
      <c r="D223" s="1" t="s">
        <v>38</v>
      </c>
      <c r="E223" s="2" t="n">
        <v>4</v>
      </c>
      <c r="F223" s="2" t="n">
        <v>224</v>
      </c>
      <c r="G223" s="3" t="n">
        <f aca="false">IFERROR(E223/F223," ")</f>
        <v>0.0178571428571429</v>
      </c>
      <c r="H223" s="0" t="s">
        <v>12</v>
      </c>
    </row>
    <row r="224" customFormat="false" ht="14.9" hidden="true" customHeight="false" outlineLevel="0" collapsed="false">
      <c r="A224" s="1" t="s">
        <v>162</v>
      </c>
      <c r="D224" s="1" t="s">
        <v>38</v>
      </c>
      <c r="E224" s="2" t="n">
        <v>3</v>
      </c>
      <c r="G224" s="3" t="str">
        <f aca="false">IFERROR(E224/F224," ")</f>
        <v> </v>
      </c>
      <c r="H224" s="0" t="s">
        <v>12</v>
      </c>
    </row>
    <row r="225" customFormat="false" ht="13.8" hidden="true" customHeight="false" outlineLevel="0" collapsed="false"/>
    <row r="226" customFormat="false" ht="13.8" hidden="true" customHeight="false" outlineLevel="0" collapsed="false"/>
    <row r="227" customFormat="false" ht="13.8" hidden="true" customHeight="false" outlineLevel="0" collapsed="false"/>
    <row r="228" customFormat="false" ht="13.8" hidden="true" customHeight="false" outlineLevel="0" collapsed="false"/>
    <row r="229" customFormat="false" ht="13.8" hidden="true" customHeight="false" outlineLevel="0" collapsed="false"/>
    <row r="230" customFormat="false" ht="13.8" hidden="true" customHeight="false" outlineLevel="0" collapsed="false"/>
    <row r="231" customFormat="false" ht="13.8" hidden="true" customHeight="false" outlineLevel="0" collapsed="false"/>
  </sheetData>
  <autoFilter ref="A2:H231">
    <filterColumn colId="4">
      <customFilters and="true">
        <customFilter operator="**none**" val=""/>
      </customFilters>
    </filterColumn>
    <filterColumn colId="5">
      <customFilters and="true">
        <customFilter operator="equal" val="No"/>
      </customFilters>
    </filterColumn>
  </autoFilter>
  <dataValidations count="2">
    <dataValidation allowBlank="true" operator="between" showDropDown="false" showErrorMessage="true" showInputMessage="true" sqref="D3:D219" type="list">
      <formula1>Media</formula1>
      <formula2>0</formula2>
    </dataValidation>
    <dataValidation allowBlank="true" operator="between" showDropDown="false" showErrorMessage="true" showInputMessage="true" sqref="H3:H125 H127:H129" type="list">
      <formula1>Dropdown!$A$2:$A$4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E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56.28"/>
    <col collapsed="false" customWidth="true" hidden="false" outlineLevel="0" max="5" min="2" style="0" width="20.14"/>
    <col collapsed="false" customWidth="true" hidden="false" outlineLevel="0" max="1025" min="6" style="0" width="8.53"/>
  </cols>
  <sheetData>
    <row r="1" customFormat="false" ht="30" hidden="false" customHeight="false" outlineLevel="0" collapsed="false">
      <c r="A1" s="4" t="s">
        <v>0</v>
      </c>
      <c r="B1" s="5"/>
      <c r="C1" s="5"/>
      <c r="D1" s="6"/>
      <c r="E1" s="7"/>
    </row>
    <row r="2" customFormat="false" ht="15" hidden="false" customHeight="false" outlineLevel="0" collapsed="false">
      <c r="A2" s="4" t="s">
        <v>1</v>
      </c>
      <c r="B2" s="5" t="s">
        <v>5</v>
      </c>
      <c r="C2" s="5" t="s">
        <v>6</v>
      </c>
      <c r="D2" s="6" t="s">
        <v>7</v>
      </c>
      <c r="E2" s="7" t="s">
        <v>8</v>
      </c>
    </row>
    <row r="3" customFormat="false" ht="15" hidden="false" customHeight="false" outlineLevel="0" collapsed="false">
      <c r="A3" s="0" t="str">
        <f aca="false">Unread!A3</f>
        <v>The Rubaiyat</v>
      </c>
      <c r="B3" s="0" t="n">
        <f aca="false">Unread!E3</f>
        <v>4</v>
      </c>
      <c r="C3" s="0" t="n">
        <f aca="false">Unread!F3</f>
        <v>46</v>
      </c>
      <c r="D3" s="0" t="n">
        <f aca="false">Unread!G3</f>
        <v>0.0869565217391304</v>
      </c>
      <c r="E3" s="0" t="str">
        <f aca="false">Unread!H3</f>
        <v>Yes</v>
      </c>
    </row>
    <row r="4" customFormat="false" ht="15" hidden="true" customHeight="false" outlineLevel="0" collapsed="false">
      <c r="A4" s="0" t="str">
        <f aca="false">Unread!A4</f>
        <v>World War I at Home</v>
      </c>
      <c r="B4" s="0" t="n">
        <f aca="false">Unread!E4</f>
        <v>2</v>
      </c>
      <c r="C4" s="0" t="n">
        <f aca="false">Unread!F4</f>
        <v>0</v>
      </c>
      <c r="D4" s="0" t="str">
        <f aca="false">Unread!G4</f>
        <v> </v>
      </c>
      <c r="E4" s="0" t="str">
        <f aca="false">Unread!H4</f>
        <v>No</v>
      </c>
    </row>
    <row r="5" customFormat="false" ht="15" hidden="true" customHeight="false" outlineLevel="0" collapsed="false">
      <c r="A5" s="0" t="str">
        <f aca="false">Unread!A5</f>
        <v>World War I (Baldwin)</v>
      </c>
      <c r="B5" s="0" t="n">
        <f aca="false">Unread!E5</f>
        <v>2</v>
      </c>
      <c r="C5" s="0" t="n">
        <f aca="false">Unread!F5</f>
        <v>0</v>
      </c>
      <c r="D5" s="0" t="str">
        <f aca="false">Unread!G5</f>
        <v> </v>
      </c>
      <c r="E5" s="0" t="str">
        <f aca="false">Unread!H5</f>
        <v>No</v>
      </c>
    </row>
    <row r="6" customFormat="false" ht="15" hidden="true" customHeight="false" outlineLevel="0" collapsed="false">
      <c r="A6" s="0" t="str">
        <f aca="false">Unread!A6</f>
        <v>Cavalry of the Clouds</v>
      </c>
      <c r="B6" s="0" t="n">
        <f aca="false">Unread!E6</f>
        <v>2</v>
      </c>
      <c r="C6" s="0" t="n">
        <f aca="false">Unread!F6</f>
        <v>0</v>
      </c>
      <c r="D6" s="0" t="str">
        <f aca="false">Unread!G6</f>
        <v> </v>
      </c>
      <c r="E6" s="0" t="str">
        <f aca="false">Unread!H6</f>
        <v>No</v>
      </c>
    </row>
    <row r="7" customFormat="false" ht="15" hidden="true" customHeight="false" outlineLevel="0" collapsed="false">
      <c r="A7" s="0" t="str">
        <f aca="false">Unread!A7</f>
        <v>Undertones of War</v>
      </c>
      <c r="B7" s="0" t="n">
        <f aca="false">Unread!E7</f>
        <v>2</v>
      </c>
      <c r="C7" s="0" t="n">
        <f aca="false">Unread!F7</f>
        <v>0</v>
      </c>
      <c r="D7" s="0" t="str">
        <f aca="false">Unread!G7</f>
        <v> </v>
      </c>
      <c r="E7" s="0" t="str">
        <f aca="false">Unread!H7</f>
        <v>No</v>
      </c>
    </row>
    <row r="8" customFormat="false" ht="15" hidden="true" customHeight="false" outlineLevel="0" collapsed="false">
      <c r="A8" s="0" t="str">
        <f aca="false">Unread!A8</f>
        <v>Sinking of the Titanic</v>
      </c>
      <c r="B8" s="0" t="n">
        <f aca="false">Unread!E8</f>
        <v>2</v>
      </c>
      <c r="C8" s="0" t="n">
        <f aca="false">Unread!F8</f>
        <v>0</v>
      </c>
      <c r="D8" s="0" t="str">
        <f aca="false">Unread!G8</f>
        <v> </v>
      </c>
      <c r="E8" s="0" t="str">
        <f aca="false">Unread!H8</f>
        <v>No</v>
      </c>
    </row>
    <row r="9" customFormat="false" ht="15" hidden="true" customHeight="false" outlineLevel="0" collapsed="false">
      <c r="A9" s="0" t="str">
        <f aca="false">Unread!A9</f>
        <v>History of the World War (March)</v>
      </c>
      <c r="B9" s="0" t="n">
        <f aca="false">Unread!E9</f>
        <v>2</v>
      </c>
      <c r="C9" s="0" t="n">
        <f aca="false">Unread!F9</f>
        <v>0</v>
      </c>
      <c r="D9" s="0" t="str">
        <f aca="false">Unread!G9</f>
        <v> </v>
      </c>
      <c r="E9" s="0" t="str">
        <f aca="false">Unread!H9</f>
        <v>No</v>
      </c>
    </row>
    <row r="10" customFormat="false" ht="15" hidden="true" customHeight="false" outlineLevel="0" collapsed="false">
      <c r="A10" s="0" t="str">
        <f aca="false">Unread!A10</f>
        <v>World War for Humanity</v>
      </c>
      <c r="B10" s="0" t="n">
        <f aca="false">Unread!E10</f>
        <v>2</v>
      </c>
      <c r="C10" s="0" t="n">
        <f aca="false">Unread!F10</f>
        <v>0</v>
      </c>
      <c r="D10" s="0" t="str">
        <f aca="false">Unread!G10</f>
        <v> </v>
      </c>
      <c r="E10" s="0" t="str">
        <f aca="false">Unread!H10</f>
        <v>No</v>
      </c>
    </row>
    <row r="11" customFormat="false" ht="15" hidden="true" customHeight="false" outlineLevel="0" collapsed="false">
      <c r="A11" s="0" t="str">
        <f aca="false">Unread!A11</f>
        <v>School for Soldiers</v>
      </c>
      <c r="B11" s="0" t="n">
        <f aca="false">Unread!E11</f>
        <v>2</v>
      </c>
      <c r="C11" s="0" t="n">
        <f aca="false">Unread!F11</f>
        <v>0</v>
      </c>
      <c r="D11" s="0" t="str">
        <f aca="false">Unread!G11</f>
        <v> </v>
      </c>
      <c r="E11" s="0" t="str">
        <f aca="false">Unread!H11</f>
        <v>No</v>
      </c>
    </row>
    <row r="12" customFormat="false" ht="15" hidden="true" customHeight="false" outlineLevel="0" collapsed="false">
      <c r="A12" s="0" t="str">
        <f aca="false">Unread!A12</f>
        <v>The First World War (Strachan)</v>
      </c>
      <c r="B12" s="0" t="n">
        <f aca="false">Unread!E12</f>
        <v>2</v>
      </c>
      <c r="C12" s="0" t="n">
        <f aca="false">Unread!F12</f>
        <v>0</v>
      </c>
      <c r="D12" s="0" t="str">
        <f aca="false">Unread!G12</f>
        <v> </v>
      </c>
      <c r="E12" s="0" t="str">
        <f aca="false">Unread!H12</f>
        <v>No</v>
      </c>
    </row>
    <row r="13" customFormat="false" ht="15" hidden="true" customHeight="false" outlineLevel="0" collapsed="false">
      <c r="A13" s="0" t="str">
        <f aca="false">Unread!A13</f>
        <v>Soldier from the Wars Returning (Carrington)</v>
      </c>
      <c r="B13" s="0" t="n">
        <f aca="false">Unread!E13</f>
        <v>2</v>
      </c>
      <c r="C13" s="0" t="n">
        <f aca="false">Unread!F13</f>
        <v>0</v>
      </c>
      <c r="D13" s="0" t="str">
        <f aca="false">Unread!G13</f>
        <v> </v>
      </c>
      <c r="E13" s="0" t="str">
        <f aca="false">Unread!H13</f>
        <v>No</v>
      </c>
    </row>
    <row r="14" customFormat="false" ht="15" hidden="false" customHeight="false" outlineLevel="0" collapsed="false">
      <c r="A14" s="0" t="str">
        <f aca="false">Unread!A14</f>
        <v>Randomness and Mathematical Proof (Report)</v>
      </c>
      <c r="B14" s="0" t="n">
        <f aca="false">Unread!E14</f>
        <v>4</v>
      </c>
      <c r="C14" s="0" t="n">
        <f aca="false">Unread!F14</f>
        <v>9</v>
      </c>
      <c r="D14" s="0" t="n">
        <f aca="false">Unread!G14</f>
        <v>0.444444444444444</v>
      </c>
      <c r="E14" s="0" t="str">
        <f aca="false">Unread!H14</f>
        <v>Yes</v>
      </c>
    </row>
    <row r="15" customFormat="false" ht="15" hidden="false" customHeight="false" outlineLevel="0" collapsed="false">
      <c r="A15" s="0" t="str">
        <f aca="false">Unread!A15</f>
        <v>Enhancing our Grasp of Complex Arguments (Paper)</v>
      </c>
      <c r="B15" s="0" t="n">
        <f aca="false">Unread!E15</f>
        <v>4</v>
      </c>
      <c r="C15" s="0" t="n">
        <f aca="false">Unread!F15</f>
        <v>11</v>
      </c>
      <c r="D15" s="0" t="n">
        <f aca="false">Unread!G15</f>
        <v>0.363636363636364</v>
      </c>
      <c r="E15" s="0" t="str">
        <f aca="false">Unread!H15</f>
        <v>Yes</v>
      </c>
    </row>
    <row r="16" customFormat="false" ht="15" hidden="true" customHeight="false" outlineLevel="0" collapsed="false">
      <c r="A16" s="0" t="str">
        <f aca="false">Unread!A16</f>
        <v>Algorithmic Accountability: On the Investigation of Black Boxes</v>
      </c>
      <c r="B16" s="0" t="n">
        <f aca="false">Unread!E16</f>
        <v>4</v>
      </c>
      <c r="C16" s="0" t="n">
        <f aca="false">Unread!F16</f>
        <v>14</v>
      </c>
      <c r="D16" s="0" t="n">
        <f aca="false">Unread!G16</f>
        <v>0.285714285714286</v>
      </c>
      <c r="E16" s="0" t="str">
        <f aca="false">Unread!H16</f>
        <v>No</v>
      </c>
    </row>
    <row r="17" customFormat="false" ht="15" hidden="true" customHeight="false" outlineLevel="0" collapsed="false">
      <c r="A17" s="0" t="str">
        <f aca="false">Unread!A17</f>
        <v>Algorithmic bias (W)</v>
      </c>
      <c r="B17" s="0" t="n">
        <f aca="false">Unread!E17</f>
        <v>3</v>
      </c>
      <c r="C17" s="0" t="n">
        <f aca="false">Unread!F17</f>
        <v>12</v>
      </c>
      <c r="D17" s="0" t="n">
        <f aca="false">Unread!G17</f>
        <v>0.25</v>
      </c>
      <c r="E17" s="0" t="str">
        <f aca="false">Unread!H17</f>
        <v>No</v>
      </c>
    </row>
    <row r="18" customFormat="false" ht="15" hidden="false" customHeight="false" outlineLevel="0" collapsed="false">
      <c r="A18" s="0" t="str">
        <f aca="false">Unread!A18</f>
        <v>The Waste Land: Poem</v>
      </c>
      <c r="B18" s="0" t="n">
        <f aca="false">Unread!E18</f>
        <v>3</v>
      </c>
      <c r="C18" s="0" t="n">
        <f aca="false">Unread!F18</f>
        <v>14</v>
      </c>
      <c r="D18" s="0" t="n">
        <f aca="false">Unread!G18</f>
        <v>0.214285714285714</v>
      </c>
      <c r="E18" s="0" t="str">
        <f aca="false">Unread!H18</f>
        <v>Yes</v>
      </c>
    </row>
    <row r="19" customFormat="false" ht="15" hidden="false" customHeight="false" outlineLevel="0" collapsed="false">
      <c r="A19" s="0" t="str">
        <f aca="false">Unread!A19</f>
        <v>Zoar (Pamphlet)</v>
      </c>
      <c r="B19" s="0" t="n">
        <f aca="false">Unread!E19</f>
        <v>5</v>
      </c>
      <c r="C19" s="0" t="n">
        <f aca="false">Unread!F19</f>
        <v>73</v>
      </c>
      <c r="D19" s="0" t="n">
        <f aca="false">Unread!G19</f>
        <v>0.0684931506849315</v>
      </c>
      <c r="E19" s="0" t="str">
        <f aca="false">Unread!H19</f>
        <v>Yes</v>
      </c>
    </row>
    <row r="20" customFormat="false" ht="15" hidden="true" customHeight="false" outlineLevel="0" collapsed="false">
      <c r="A20" s="0" t="str">
        <f aca="false">Unread!A20</f>
        <v>Wisdom and the Context of Knowledge: Knowing that One Doesn't Know: Meacham (Report)</v>
      </c>
      <c r="B20" s="0" t="n">
        <f aca="false">Unread!E20</f>
        <v>4</v>
      </c>
      <c r="C20" s="0" t="n">
        <f aca="false">Unread!F20</f>
        <v>20</v>
      </c>
      <c r="D20" s="0" t="n">
        <f aca="false">Unread!G20</f>
        <v>0.2</v>
      </c>
      <c r="E20" s="0" t="str">
        <f aca="false">Unread!H20</f>
        <v>No</v>
      </c>
    </row>
    <row r="21" customFormat="false" ht="15" hidden="true" customHeight="false" outlineLevel="0" collapsed="false">
      <c r="A21" s="0" t="str">
        <f aca="false">Unread!A21</f>
        <v>Dhammapada</v>
      </c>
      <c r="B21" s="0" t="n">
        <f aca="false">Unread!E21</f>
        <v>5</v>
      </c>
      <c r="C21" s="0" t="n">
        <f aca="false">Unread!F21</f>
        <v>29</v>
      </c>
      <c r="D21" s="0" t="n">
        <f aca="false">Unread!G21</f>
        <v>0.172413793103448</v>
      </c>
      <c r="E21" s="0" t="str">
        <f aca="false">Unread!H21</f>
        <v>No</v>
      </c>
    </row>
    <row r="22" customFormat="false" ht="15" hidden="true" customHeight="false" outlineLevel="0" collapsed="false">
      <c r="A22" s="0" t="str">
        <f aca="false">Unread!A22</f>
        <v>Self-organised criticality-what it is and what it isn't (Report)</v>
      </c>
      <c r="B22" s="0" t="n">
        <f aca="false">Unread!E22</f>
        <v>3</v>
      </c>
      <c r="C22" s="0" t="n">
        <f aca="false">Unread!F22</f>
        <v>20</v>
      </c>
      <c r="D22" s="0" t="n">
        <f aca="false">Unread!G22</f>
        <v>0.15</v>
      </c>
      <c r="E22" s="0" t="str">
        <f aca="false">Unread!H22</f>
        <v>No</v>
      </c>
    </row>
    <row r="23" customFormat="false" ht="15" hidden="true" customHeight="false" outlineLevel="0" collapsed="false">
      <c r="A23" s="0" t="str">
        <f aca="false">Unread!A23</f>
        <v>Power laws, Pareto distributinos and Zipf's Law (Report)</v>
      </c>
      <c r="B23" s="0" t="n">
        <f aca="false">Unread!E23</f>
        <v>3</v>
      </c>
      <c r="C23" s="0" t="n">
        <f aca="false">Unread!F23</f>
        <v>25</v>
      </c>
      <c r="D23" s="0" t="n">
        <f aca="false">Unread!G23</f>
        <v>0.12</v>
      </c>
      <c r="E23" s="0" t="str">
        <f aca="false">Unread!H23</f>
        <v>No</v>
      </c>
    </row>
    <row r="24" customFormat="false" ht="15" hidden="true" customHeight="false" outlineLevel="0" collapsed="false">
      <c r="A24" s="0" t="str">
        <f aca="false">Unread!A24</f>
        <v>On the Decay of the Art of Lying  </v>
      </c>
      <c r="B24" s="0" t="n">
        <f aca="false">Unread!E24</f>
        <v>2</v>
      </c>
      <c r="C24" s="0" t="n">
        <f aca="false">Unread!F24</f>
        <v>30</v>
      </c>
      <c r="D24" s="0" t="n">
        <f aca="false">Unread!G24</f>
        <v>0.0666666666666667</v>
      </c>
      <c r="E24" s="0" t="str">
        <f aca="false">Unread!H24</f>
        <v>No</v>
      </c>
    </row>
    <row r="25" customFormat="false" ht="15" hidden="true" customHeight="false" outlineLevel="0" collapsed="false">
      <c r="A25" s="0" t="str">
        <f aca="false">Unread!A25</f>
        <v>A Mathematica Theory of Communication: CE Shannon (Report)</v>
      </c>
      <c r="B25" s="0" t="n">
        <f aca="false">Unread!E25</f>
        <v>3</v>
      </c>
      <c r="C25" s="0" t="n">
        <f aca="false">Unread!F25</f>
        <v>55</v>
      </c>
      <c r="D25" s="0" t="n">
        <f aca="false">Unread!G25</f>
        <v>0.0545454545454545</v>
      </c>
      <c r="E25" s="0" t="str">
        <f aca="false">Unread!H25</f>
        <v>No</v>
      </c>
    </row>
    <row r="26" customFormat="false" ht="15" hidden="true" customHeight="false" outlineLevel="0" collapsed="false">
      <c r="A26" s="0" t="str">
        <f aca="false">Unread!A26</f>
        <v>Guerilla Warfare Mao</v>
      </c>
      <c r="B26" s="0" t="n">
        <f aca="false">Unread!E26</f>
        <v>4</v>
      </c>
      <c r="C26" s="0" t="n">
        <f aca="false">Unread!F26</f>
        <v>74</v>
      </c>
      <c r="D26" s="0" t="n">
        <f aca="false">Unread!G26</f>
        <v>0.0540540540540541</v>
      </c>
      <c r="E26" s="0" t="str">
        <f aca="false">Unread!H26</f>
        <v>No</v>
      </c>
    </row>
    <row r="27" customFormat="false" ht="15" hidden="true" customHeight="false" outlineLevel="0" collapsed="false">
      <c r="A27" s="0" t="str">
        <f aca="false">Unread!A27</f>
        <v>Thermodynamics</v>
      </c>
      <c r="B27" s="0" t="n">
        <f aca="false">Unread!E27</f>
        <v>5</v>
      </c>
      <c r="C27" s="0" t="n">
        <f aca="false">Unread!F27</f>
        <v>120</v>
      </c>
      <c r="D27" s="0" t="n">
        <f aca="false">Unread!G27</f>
        <v>0.0416666666666667</v>
      </c>
      <c r="E27" s="0" t="str">
        <f aca="false">Unread!H27</f>
        <v>No</v>
      </c>
    </row>
    <row r="28" customFormat="false" ht="15" hidden="true" customHeight="false" outlineLevel="0" collapsed="false">
      <c r="A28" s="0" t="str">
        <f aca="false">Unread!A28</f>
        <v>Campaigns of General Custer</v>
      </c>
      <c r="B28" s="0" t="n">
        <f aca="false">Unread!E28</f>
        <v>3</v>
      </c>
      <c r="C28" s="0" t="n">
        <f aca="false">Unread!F28</f>
        <v>72</v>
      </c>
      <c r="D28" s="0" t="n">
        <f aca="false">Unread!G28</f>
        <v>0.0416666666666667</v>
      </c>
      <c r="E28" s="0" t="str">
        <f aca="false">Unread!H28</f>
        <v>No</v>
      </c>
    </row>
    <row r="29" customFormat="false" ht="15" hidden="true" customHeight="false" outlineLevel="0" collapsed="false">
      <c r="A29" s="0" t="str">
        <f aca="false">Unread!A29</f>
        <v>A Monk's Guide to a Clean House</v>
      </c>
      <c r="B29" s="0" t="n">
        <f aca="false">Unread!E29</f>
        <v>5</v>
      </c>
      <c r="C29" s="0" t="n">
        <f aca="false">Unread!F29</f>
        <v>128</v>
      </c>
      <c r="D29" s="0" t="n">
        <f aca="false">Unread!G29</f>
        <v>0.0390625</v>
      </c>
      <c r="E29" s="0" t="str">
        <f aca="false">Unread!H29</f>
        <v>No</v>
      </c>
    </row>
    <row r="30" customFormat="false" ht="15" hidden="true" customHeight="false" outlineLevel="0" collapsed="false">
      <c r="A30" s="0" t="str">
        <f aca="false">Unread!A30</f>
        <v>Maneuver Warfare Handbook</v>
      </c>
      <c r="B30" s="0" t="n">
        <f aca="false">Unread!E30</f>
        <v>5</v>
      </c>
      <c r="C30" s="0" t="n">
        <f aca="false">Unread!F30</f>
        <v>133</v>
      </c>
      <c r="D30" s="0" t="n">
        <f aca="false">Unread!G30</f>
        <v>0.037593984962406</v>
      </c>
      <c r="E30" s="0" t="str">
        <f aca="false">Unread!H30</f>
        <v>No</v>
      </c>
    </row>
    <row r="31" customFormat="false" ht="15" hidden="true" customHeight="false" outlineLevel="0" collapsed="false">
      <c r="A31" s="0" t="str">
        <f aca="false">Unread!A31</f>
        <v>Drop the Rock: Removing Character Defects - Steps Six and Seven  </v>
      </c>
      <c r="B31" s="0" t="n">
        <f aca="false">Unread!E31</f>
        <v>4</v>
      </c>
      <c r="C31" s="0" t="n">
        <f aca="false">Unread!F31</f>
        <v>132</v>
      </c>
      <c r="D31" s="0" t="n">
        <f aca="false">Unread!G31</f>
        <v>0.0303030303030303</v>
      </c>
      <c r="E31" s="0" t="str">
        <f aca="false">Unread!H31</f>
        <v>No</v>
      </c>
    </row>
    <row r="32" customFormat="false" ht="15" hidden="true" customHeight="false" outlineLevel="0" collapsed="false">
      <c r="A32" s="0" t="str">
        <f aca="false">Unread!A32</f>
        <v>The Parent's Tao Te Ching</v>
      </c>
      <c r="B32" s="0" t="n">
        <f aca="false">Unread!E32</f>
        <v>4</v>
      </c>
      <c r="C32" s="0" t="n">
        <f aca="false">Unread!F32</f>
        <v>160</v>
      </c>
      <c r="D32" s="0" t="n">
        <f aca="false">Unread!G32</f>
        <v>0.025</v>
      </c>
      <c r="E32" s="0" t="str">
        <f aca="false">Unread!H32</f>
        <v>No</v>
      </c>
    </row>
    <row r="33" customFormat="false" ht="15" hidden="true" customHeight="false" outlineLevel="0" collapsed="false">
      <c r="A33" s="0" t="str">
        <f aca="false">Unread!A33</f>
        <v>The Gnosis of the Light  </v>
      </c>
      <c r="B33" s="0" t="n">
        <f aca="false">Unread!E33</f>
        <v>2</v>
      </c>
      <c r="C33" s="0" t="n">
        <f aca="false">Unread!F33</f>
        <v>80</v>
      </c>
      <c r="D33" s="0" t="n">
        <f aca="false">Unread!G33</f>
        <v>0.025</v>
      </c>
      <c r="E33" s="0" t="str">
        <f aca="false">Unread!H33</f>
        <v>No</v>
      </c>
    </row>
    <row r="34" customFormat="false" ht="15" hidden="true" customHeight="false" outlineLevel="0" collapsed="false">
      <c r="A34" s="0" t="str">
        <f aca="false">Unread!A34</f>
        <v>The Elements of Zen</v>
      </c>
      <c r="B34" s="0" t="n">
        <f aca="false">Unread!E34</f>
        <v>3</v>
      </c>
      <c r="C34" s="0" t="n">
        <f aca="false">Unread!F34</f>
        <v>124</v>
      </c>
      <c r="D34" s="0" t="n">
        <f aca="false">Unread!G34</f>
        <v>0.0241935483870968</v>
      </c>
      <c r="E34" s="0" t="str">
        <f aca="false">Unread!H34</f>
        <v>No</v>
      </c>
    </row>
    <row r="35" customFormat="false" ht="15" hidden="true" customHeight="false" outlineLevel="0" collapsed="false">
      <c r="A35" s="0" t="str">
        <f aca="false">Unread!A35</f>
        <v>Impeachment: A Citizen's Guide</v>
      </c>
      <c r="B35" s="0" t="n">
        <f aca="false">Unread!E35</f>
        <v>5</v>
      </c>
      <c r="C35" s="0" t="n">
        <f aca="false">Unread!F35</f>
        <v>208</v>
      </c>
      <c r="D35" s="0" t="n">
        <f aca="false">Unread!G35</f>
        <v>0.0240384615384615</v>
      </c>
      <c r="E35" s="0" t="str">
        <f aca="false">Unread!H35</f>
        <v>No</v>
      </c>
    </row>
    <row r="36" customFormat="false" ht="15" hidden="true" customHeight="false" outlineLevel="0" collapsed="false">
      <c r="A36" s="0" t="str">
        <f aca="false">Unread!A36</f>
        <v>On Tyranny: Twenty Lessons From the Twentieth Century  </v>
      </c>
      <c r="B36" s="0" t="n">
        <f aca="false">Unread!E36</f>
        <v>3</v>
      </c>
      <c r="C36" s="0" t="n">
        <f aca="false">Unread!F36</f>
        <v>128</v>
      </c>
      <c r="D36" s="0" t="n">
        <f aca="false">Unread!G36</f>
        <v>0.0234375</v>
      </c>
      <c r="E36" s="0" t="str">
        <f aca="false">Unread!H36</f>
        <v>No</v>
      </c>
    </row>
    <row r="37" customFormat="false" ht="15" hidden="true" customHeight="false" outlineLevel="0" collapsed="false">
      <c r="A37" s="0" t="str">
        <f aca="false">Unread!A37</f>
        <v>Advice Not Given: A Guide for Getting Over Yourself</v>
      </c>
      <c r="B37" s="0" t="n">
        <f aca="false">Unread!E37</f>
        <v>5</v>
      </c>
      <c r="C37" s="0" t="n">
        <f aca="false">Unread!F37</f>
        <v>224</v>
      </c>
      <c r="D37" s="0" t="n">
        <f aca="false">Unread!G37</f>
        <v>0.0223214285714286</v>
      </c>
      <c r="E37" s="0" t="str">
        <f aca="false">Unread!H37</f>
        <v>No</v>
      </c>
    </row>
    <row r="38" customFormat="false" ht="15" hidden="true" customHeight="false" outlineLevel="0" collapsed="false">
      <c r="A38" s="0" t="str">
        <f aca="false">Unread!A38</f>
        <v>Left of Bang: How the Marine Corps' Combat Hunter Program Can Save Your Life  </v>
      </c>
      <c r="B38" s="0" t="n">
        <f aca="false">Unread!E38</f>
        <v>5</v>
      </c>
      <c r="C38" s="0" t="n">
        <f aca="false">Unread!F38</f>
        <v>228</v>
      </c>
      <c r="D38" s="0" t="n">
        <f aca="false">Unread!G38</f>
        <v>0.0219298245614035</v>
      </c>
      <c r="E38" s="0" t="str">
        <f aca="false">Unread!H38</f>
        <v>No</v>
      </c>
    </row>
    <row r="39" customFormat="false" ht="15" hidden="true" customHeight="false" outlineLevel="0" collapsed="false">
      <c r="A39" s="0" t="str">
        <f aca="false">Unread!A39</f>
        <v>Markings (Dag)</v>
      </c>
      <c r="B39" s="0" t="n">
        <f aca="false">Unread!E39</f>
        <v>4</v>
      </c>
      <c r="C39" s="0" t="n">
        <f aca="false">Unread!F39</f>
        <v>191</v>
      </c>
      <c r="D39" s="0" t="n">
        <f aca="false">Unread!G39</f>
        <v>0.0209424083769633</v>
      </c>
      <c r="E39" s="0" t="str">
        <f aca="false">Unread!H39</f>
        <v>No</v>
      </c>
    </row>
    <row r="40" customFormat="false" ht="15" hidden="true" customHeight="false" outlineLevel="0" collapsed="false">
      <c r="A40" s="0" t="str">
        <f aca="false">Unread!A40</f>
        <v>Simplicity: The Freedom of Letting Go  </v>
      </c>
      <c r="B40" s="0" t="n">
        <f aca="false">Unread!E40</f>
        <v>4</v>
      </c>
      <c r="C40" s="0" t="n">
        <f aca="false">Unread!F40</f>
        <v>192</v>
      </c>
      <c r="D40" s="0" t="n">
        <f aca="false">Unread!G40</f>
        <v>0.0208333333333333</v>
      </c>
      <c r="E40" s="0" t="str">
        <f aca="false">Unread!H40</f>
        <v>No</v>
      </c>
    </row>
    <row r="41" customFormat="false" ht="15" hidden="true" customHeight="false" outlineLevel="0" collapsed="false">
      <c r="A41" s="0" t="str">
        <f aca="false">Unread!A41</f>
        <v>Dr. Seuss: American Icon</v>
      </c>
      <c r="B41" s="0" t="n">
        <f aca="false">Unread!E41</f>
        <v>4</v>
      </c>
      <c r="C41" s="0" t="n">
        <f aca="false">Unread!F41</f>
        <v>198</v>
      </c>
      <c r="D41" s="0" t="n">
        <f aca="false">Unread!G41</f>
        <v>0.0202020202020202</v>
      </c>
      <c r="E41" s="0" t="str">
        <f aca="false">Unread!H41</f>
        <v>No</v>
      </c>
    </row>
    <row r="42" customFormat="false" ht="15" hidden="true" customHeight="false" outlineLevel="0" collapsed="false">
      <c r="A42" s="0" t="str">
        <f aca="false">Unread!A42</f>
        <v>Promise me Dad</v>
      </c>
      <c r="B42" s="0" t="n">
        <f aca="false">Unread!E42</f>
        <v>5</v>
      </c>
      <c r="C42" s="0" t="n">
        <f aca="false">Unread!F42</f>
        <v>258</v>
      </c>
      <c r="D42" s="0" t="n">
        <f aca="false">Unread!G42</f>
        <v>0.0193798449612403</v>
      </c>
      <c r="E42" s="0" t="str">
        <f aca="false">Unread!H42</f>
        <v>No</v>
      </c>
    </row>
    <row r="43" customFormat="false" ht="15" hidden="true" customHeight="false" outlineLevel="0" collapsed="false">
      <c r="A43" s="0" t="str">
        <f aca="false">Unread!A43</f>
        <v>Norman Rockwell: A Sixty Year Retrospective</v>
      </c>
      <c r="B43" s="0" t="n">
        <f aca="false">Unread!E43</f>
        <v>3</v>
      </c>
      <c r="C43" s="0" t="n">
        <f aca="false">Unread!F43</f>
        <v>157</v>
      </c>
      <c r="D43" s="0" t="n">
        <f aca="false">Unread!G43</f>
        <v>0.0191082802547771</v>
      </c>
      <c r="E43" s="0" t="str">
        <f aca="false">Unread!H43</f>
        <v>No</v>
      </c>
    </row>
    <row r="44" customFormat="false" ht="15" hidden="true" customHeight="false" outlineLevel="0" collapsed="false">
      <c r="A44" s="0" t="str">
        <f aca="false">Unread!A44</f>
        <v>The Wisdom of Insecurity  </v>
      </c>
      <c r="B44" s="0" t="n">
        <f aca="false">Unread!E44</f>
        <v>3</v>
      </c>
      <c r="C44" s="0" t="n">
        <f aca="false">Unread!F44</f>
        <v>160</v>
      </c>
      <c r="D44" s="0" t="n">
        <f aca="false">Unread!G44</f>
        <v>0.01875</v>
      </c>
      <c r="E44" s="0" t="str">
        <f aca="false">Unread!H44</f>
        <v>No</v>
      </c>
    </row>
    <row r="45" customFormat="false" ht="15" hidden="true" customHeight="false" outlineLevel="0" collapsed="false">
      <c r="A45" s="0" t="str">
        <f aca="false">Unread!A45</f>
        <v>The Obstacle Is the Way: The Timeless Art of Turning Trials Into Triumph  </v>
      </c>
      <c r="B45" s="0" t="n">
        <f aca="false">Unread!E45</f>
        <v>4</v>
      </c>
      <c r="C45" s="0" t="n">
        <f aca="false">Unread!F45</f>
        <v>224</v>
      </c>
      <c r="D45" s="0" t="n">
        <f aca="false">Unread!G45</f>
        <v>0.0178571428571429</v>
      </c>
      <c r="E45" s="0" t="str">
        <f aca="false">Unread!H45</f>
        <v>No</v>
      </c>
    </row>
    <row r="46" customFormat="false" ht="15" hidden="true" customHeight="false" outlineLevel="0" collapsed="false">
      <c r="A46" s="0" t="str">
        <f aca="false">Unread!A46</f>
        <v>Flight of the Wild Gander</v>
      </c>
      <c r="B46" s="0" t="n">
        <f aca="false">Unread!E46</f>
        <v>4</v>
      </c>
      <c r="C46" s="0" t="n">
        <f aca="false">Unread!F46</f>
        <v>226</v>
      </c>
      <c r="D46" s="0" t="n">
        <f aca="false">Unread!G46</f>
        <v>0.0176991150442478</v>
      </c>
      <c r="E46" s="0" t="str">
        <f aca="false">Unread!H46</f>
        <v>No</v>
      </c>
    </row>
    <row r="47" customFormat="false" ht="15" hidden="true" customHeight="false" outlineLevel="0" collapsed="false">
      <c r="A47" s="0" t="str">
        <f aca="false">Unread!A47</f>
        <v>Sprint: How to Solve Big Problems and Test New Ideas in Just Five Days  </v>
      </c>
      <c r="B47" s="0" t="n">
        <f aca="false">Unread!E47</f>
        <v>5</v>
      </c>
      <c r="C47" s="0" t="n">
        <f aca="false">Unread!F47</f>
        <v>288</v>
      </c>
      <c r="D47" s="0" t="n">
        <f aca="false">Unread!G47</f>
        <v>0.0173611111111111</v>
      </c>
      <c r="E47" s="0" t="str">
        <f aca="false">Unread!H47</f>
        <v>No</v>
      </c>
    </row>
    <row r="48" customFormat="false" ht="15" hidden="true" customHeight="false" outlineLevel="0" collapsed="false">
      <c r="A48" s="0" t="str">
        <f aca="false">Unread!A48</f>
        <v>Buddhism: An Introduction and Guide</v>
      </c>
      <c r="B48" s="0" t="n">
        <f aca="false">Unread!E48</f>
        <v>4</v>
      </c>
      <c r="C48" s="0" t="n">
        <f aca="false">Unread!F48</f>
        <v>231</v>
      </c>
      <c r="D48" s="0" t="n">
        <f aca="false">Unread!G48</f>
        <v>0.0173160173160173</v>
      </c>
      <c r="E48" s="0" t="str">
        <f aca="false">Unread!H48</f>
        <v>No</v>
      </c>
    </row>
    <row r="49" customFormat="false" ht="15" hidden="true" customHeight="false" outlineLevel="0" collapsed="false">
      <c r="A49" s="0" t="str">
        <f aca="false">Unread!A49</f>
        <v>The Ransom of Russian Art</v>
      </c>
      <c r="B49" s="0" t="n">
        <f aca="false">Unread!E49</f>
        <v>3</v>
      </c>
      <c r="C49" s="0" t="n">
        <f aca="false">Unread!F49</f>
        <v>181</v>
      </c>
      <c r="D49" s="0" t="n">
        <f aca="false">Unread!G49</f>
        <v>0.0165745856353591</v>
      </c>
      <c r="E49" s="0" t="str">
        <f aca="false">Unread!H49</f>
        <v>No</v>
      </c>
    </row>
    <row r="50" customFormat="false" ht="15" hidden="true" customHeight="false" outlineLevel="0" collapsed="false">
      <c r="A50" s="0" t="str">
        <f aca="false">Unread!A50</f>
        <v>The Gnostic Gospels.</v>
      </c>
      <c r="B50" s="0" t="n">
        <f aca="false">Unread!E50</f>
        <v>3</v>
      </c>
      <c r="C50" s="0" t="n">
        <f aca="false">Unread!F50</f>
        <v>182</v>
      </c>
      <c r="D50" s="0" t="n">
        <f aca="false">Unread!G50</f>
        <v>0.0164835164835165</v>
      </c>
      <c r="E50" s="0" t="str">
        <f aca="false">Unread!H50</f>
        <v>No</v>
      </c>
    </row>
    <row r="51" customFormat="false" ht="15" hidden="true" customHeight="false" outlineLevel="0" collapsed="false">
      <c r="A51" s="0" t="str">
        <f aca="false">Unread!A51</f>
        <v>Tao of Jeet Kune Do</v>
      </c>
      <c r="B51" s="0" t="n">
        <f aca="false">Unread!E51</f>
        <v>4</v>
      </c>
      <c r="C51" s="0" t="n">
        <f aca="false">Unread!F51</f>
        <v>250</v>
      </c>
      <c r="D51" s="0" t="n">
        <f aca="false">Unread!G51</f>
        <v>0.016</v>
      </c>
      <c r="E51" s="0" t="str">
        <f aca="false">Unread!H51</f>
        <v>No</v>
      </c>
    </row>
    <row r="52" customFormat="false" ht="15" hidden="true" customHeight="false" outlineLevel="0" collapsed="false">
      <c r="A52" s="0" t="str">
        <f aca="false">Unread!A52</f>
        <v>God: A Human History</v>
      </c>
      <c r="B52" s="0" t="n">
        <f aca="false">Unread!E52</f>
        <v>5</v>
      </c>
      <c r="C52" s="0" t="n">
        <f aca="false">Unread!F52</f>
        <v>320</v>
      </c>
      <c r="D52" s="0" t="n">
        <f aca="false">Unread!G52</f>
        <v>0.015625</v>
      </c>
      <c r="E52" s="0" t="str">
        <f aca="false">Unread!H52</f>
        <v>No</v>
      </c>
    </row>
    <row r="53" customFormat="false" ht="15" hidden="true" customHeight="false" outlineLevel="0" collapsed="false">
      <c r="A53" s="0" t="str">
        <f aca="false">Unread!A53</f>
        <v>Myths to Live By</v>
      </c>
      <c r="B53" s="0" t="n">
        <f aca="false">Unread!E53</f>
        <v>4</v>
      </c>
      <c r="C53" s="0" t="n">
        <f aca="false">Unread!F53</f>
        <v>266</v>
      </c>
      <c r="D53" s="0" t="n">
        <f aca="false">Unread!G53</f>
        <v>0.0150375939849624</v>
      </c>
      <c r="E53" s="0" t="str">
        <f aca="false">Unread!H53</f>
        <v>No</v>
      </c>
    </row>
    <row r="54" customFormat="false" ht="15" hidden="true" customHeight="false" outlineLevel="0" collapsed="false">
      <c r="A54" s="0" t="str">
        <f aca="false">Unread!A54</f>
        <v>Why Buddhism Is True: The Science and Philosophy of Meditation and Enlightenment  </v>
      </c>
      <c r="B54" s="0" t="n">
        <f aca="false">Unread!E54</f>
        <v>5</v>
      </c>
      <c r="C54" s="0" t="n">
        <f aca="false">Unread!F54</f>
        <v>336</v>
      </c>
      <c r="D54" s="0" t="n">
        <f aca="false">Unread!G54</f>
        <v>0.0148809523809524</v>
      </c>
      <c r="E54" s="0" t="str">
        <f aca="false">Unread!H54</f>
        <v>No</v>
      </c>
    </row>
    <row r="55" customFormat="false" ht="15" hidden="true" customHeight="false" outlineLevel="0" collapsed="false">
      <c r="A55" s="0" t="str">
        <f aca="false">Unread!A55</f>
        <v>Mooney</v>
      </c>
      <c r="B55" s="0" t="n">
        <f aca="false">Unread!E55</f>
        <v>2</v>
      </c>
      <c r="C55" s="0" t="n">
        <f aca="false">Unread!F55</f>
        <v>137</v>
      </c>
      <c r="D55" s="0" t="n">
        <f aca="false">Unread!G55</f>
        <v>0.0145985401459854</v>
      </c>
      <c r="E55" s="0" t="str">
        <f aca="false">Unread!H55</f>
        <v>No</v>
      </c>
    </row>
    <row r="56" customFormat="false" ht="15" hidden="true" customHeight="false" outlineLevel="0" collapsed="false">
      <c r="A56" s="0" t="str">
        <f aca="false">Unread!A56</f>
        <v>Letters from a Stoic</v>
      </c>
      <c r="B56" s="0" t="n">
        <f aca="false">Unread!E56</f>
        <v>4</v>
      </c>
      <c r="C56" s="0" t="n">
        <f aca="false">Unread!F56</f>
        <v>276</v>
      </c>
      <c r="D56" s="0" t="n">
        <f aca="false">Unread!G56</f>
        <v>0.0144927536231884</v>
      </c>
      <c r="E56" s="0" t="str">
        <f aca="false">Unread!H56</f>
        <v>No</v>
      </c>
    </row>
    <row r="57" customFormat="false" ht="15" hidden="true" customHeight="false" outlineLevel="0" collapsed="false">
      <c r="A57" s="0" t="str">
        <f aca="false">Unread!A57</f>
        <v>Probably Approximately Correct: Nature's Algorithms for Learning and Prospering in a Complex World  </v>
      </c>
      <c r="B57" s="0" t="n">
        <f aca="false">Unread!E57</f>
        <v>3</v>
      </c>
      <c r="C57" s="0" t="n">
        <f aca="false">Unread!F57</f>
        <v>208</v>
      </c>
      <c r="D57" s="0" t="n">
        <f aca="false">Unread!G57</f>
        <v>0.0144230769230769</v>
      </c>
      <c r="E57" s="0" t="str">
        <f aca="false">Unread!H57</f>
        <v>No</v>
      </c>
    </row>
    <row r="58" customFormat="false" ht="15" hidden="true" customHeight="false" outlineLevel="0" collapsed="false">
      <c r="A58" s="0" t="str">
        <f aca="false">Unread!A58</f>
        <v>The Penguin Guide to the United States Constitution</v>
      </c>
      <c r="B58" s="0" t="n">
        <f aca="false">Unread!E58</f>
        <v>3</v>
      </c>
      <c r="C58" s="0" t="n">
        <f aca="false">Unread!F58</f>
        <v>213</v>
      </c>
      <c r="D58" s="0" t="n">
        <f aca="false">Unread!G58</f>
        <v>0.0140845070422535</v>
      </c>
      <c r="E58" s="0" t="str">
        <f aca="false">Unread!H58</f>
        <v>No</v>
      </c>
    </row>
    <row r="59" customFormat="false" ht="15" hidden="true" customHeight="false" outlineLevel="0" collapsed="false">
      <c r="A59" s="0" t="str">
        <f aca="false">Unread!A59</f>
        <v>Rifleman Dodd</v>
      </c>
      <c r="B59" s="0" t="n">
        <f aca="false">Unread!E59</f>
        <v>3</v>
      </c>
      <c r="C59" s="0" t="n">
        <f aca="false">Unread!F59</f>
        <v>220</v>
      </c>
      <c r="D59" s="0" t="n">
        <f aca="false">Unread!G59</f>
        <v>0.0136363636363636</v>
      </c>
      <c r="E59" s="0" t="str">
        <f aca="false">Unread!H59</f>
        <v>No</v>
      </c>
    </row>
    <row r="60" customFormat="false" ht="15" hidden="true" customHeight="false" outlineLevel="0" collapsed="false">
      <c r="A60" s="0" t="str">
        <f aca="false">Unread!A60</f>
        <v>The Thirteenth Turn: A History of the Noose</v>
      </c>
      <c r="B60" s="0" t="n">
        <f aca="false">Unread!E60</f>
        <v>5</v>
      </c>
      <c r="C60" s="0" t="n">
        <f aca="false">Unread!F60</f>
        <v>368</v>
      </c>
      <c r="D60" s="0" t="n">
        <f aca="false">Unread!G60</f>
        <v>0.0135869565217391</v>
      </c>
      <c r="E60" s="0" t="str">
        <f aca="false">Unread!H60</f>
        <v>No</v>
      </c>
    </row>
    <row r="61" customFormat="false" ht="15" hidden="true" customHeight="false" outlineLevel="0" collapsed="false">
      <c r="A61" s="0" t="str">
        <f aca="false">Unread!A61</f>
        <v>Managing the Unexpected</v>
      </c>
      <c r="B61" s="0" t="n">
        <f aca="false">Unread!E61</f>
        <v>3</v>
      </c>
      <c r="C61" s="0" t="n">
        <f aca="false">Unread!F61</f>
        <v>224</v>
      </c>
      <c r="D61" s="0" t="n">
        <f aca="false">Unread!G61</f>
        <v>0.0133928571428571</v>
      </c>
      <c r="E61" s="0" t="str">
        <f aca="false">Unread!H61</f>
        <v>No</v>
      </c>
    </row>
    <row r="62" customFormat="false" ht="15" hidden="true" customHeight="false" outlineLevel="0" collapsed="false">
      <c r="A62" s="0" t="str">
        <f aca="false">Unread!A62</f>
        <v>How We Decide  </v>
      </c>
      <c r="B62" s="0" t="n">
        <f aca="false">Unread!E62</f>
        <v>4</v>
      </c>
      <c r="C62" s="0" t="n">
        <f aca="false">Unread!F62</f>
        <v>320</v>
      </c>
      <c r="D62" s="0" t="n">
        <f aca="false">Unread!G62</f>
        <v>0.0125</v>
      </c>
      <c r="E62" s="0" t="str">
        <f aca="false">Unread!H62</f>
        <v>No</v>
      </c>
    </row>
    <row r="63" customFormat="false" ht="15" hidden="true" customHeight="false" outlineLevel="0" collapsed="false">
      <c r="A63" s="0" t="str">
        <f aca="false">Unread!A63</f>
        <v>Finite and Infinite Games</v>
      </c>
      <c r="B63" s="0" t="n">
        <f aca="false">Unread!E63</f>
        <v>2</v>
      </c>
      <c r="C63" s="0" t="n">
        <f aca="false">Unread!F63</f>
        <v>160</v>
      </c>
      <c r="D63" s="0" t="n">
        <f aca="false">Unread!G63</f>
        <v>0.0125</v>
      </c>
      <c r="E63" s="0" t="str">
        <f aca="false">Unread!H63</f>
        <v>No</v>
      </c>
    </row>
    <row r="64" customFormat="false" ht="15" hidden="true" customHeight="false" outlineLevel="0" collapsed="false">
      <c r="A64" s="0" t="str">
        <f aca="false">Unread!A64</f>
        <v>Complex Organizations (Charles Perrow)</v>
      </c>
      <c r="B64" s="0" t="n">
        <f aca="false">Unread!E64</f>
        <v>4</v>
      </c>
      <c r="C64" s="0" t="n">
        <f aca="false">Unread!F64</f>
        <v>320</v>
      </c>
      <c r="D64" s="0" t="n">
        <f aca="false">Unread!G64</f>
        <v>0.0125</v>
      </c>
      <c r="E64" s="0" t="str">
        <f aca="false">Unread!H64</f>
        <v>No</v>
      </c>
    </row>
    <row r="65" customFormat="false" ht="15" hidden="true" customHeight="false" outlineLevel="0" collapsed="false">
      <c r="A65" s="0" t="str">
        <f aca="false">Unread!A65</f>
        <v>The Bread Baker's Apprentice: Mastering the Art of Extraordinary Bread  </v>
      </c>
      <c r="B65" s="0" t="n">
        <f aca="false">Unread!E65</f>
        <v>4</v>
      </c>
      <c r="C65" s="0" t="n">
        <f aca="false">Unread!F65</f>
        <v>336</v>
      </c>
      <c r="D65" s="0" t="n">
        <f aca="false">Unread!G65</f>
        <v>0.0119047619047619</v>
      </c>
      <c r="E65" s="0" t="str">
        <f aca="false">Unread!H65</f>
        <v>No</v>
      </c>
    </row>
    <row r="66" customFormat="false" ht="15" hidden="true" customHeight="false" outlineLevel="0" collapsed="false">
      <c r="A66" s="0" t="str">
        <f aca="false">Unread!A66</f>
        <v>Backbone</v>
      </c>
      <c r="B66" s="0" t="n">
        <f aca="false">Unread!E66</f>
        <v>3</v>
      </c>
      <c r="C66" s="0" t="n">
        <f aca="false">Unread!F66</f>
        <v>256</v>
      </c>
      <c r="D66" s="0" t="n">
        <f aca="false">Unread!G66</f>
        <v>0.01171875</v>
      </c>
      <c r="E66" s="0" t="str">
        <f aca="false">Unread!H66</f>
        <v>No</v>
      </c>
    </row>
    <row r="67" customFormat="false" ht="15" hidden="true" customHeight="false" outlineLevel="0" collapsed="false">
      <c r="A67" s="0" t="str">
        <f aca="false">Unread!A67</f>
        <v>Johnny Got His Gun</v>
      </c>
      <c r="B67" s="0" t="n">
        <f aca="false">Unread!E67</f>
        <v>3</v>
      </c>
      <c r="C67" s="0" t="n">
        <f aca="false">Unread!F67</f>
        <v>256</v>
      </c>
      <c r="D67" s="0" t="n">
        <f aca="false">Unread!G67</f>
        <v>0.01171875</v>
      </c>
      <c r="E67" s="0" t="str">
        <f aca="false">Unread!H67</f>
        <v>No</v>
      </c>
    </row>
    <row r="68" customFormat="false" ht="15" hidden="true" customHeight="false" outlineLevel="0" collapsed="false">
      <c r="A68" s="0" t="str">
        <f aca="false">Unread!A68</f>
        <v>Would it kill you to stop doing that?</v>
      </c>
      <c r="B68" s="0" t="n">
        <f aca="false">Unread!E68</f>
        <v>3</v>
      </c>
      <c r="C68" s="0" t="n">
        <f aca="false">Unread!F68</f>
        <v>256</v>
      </c>
      <c r="D68" s="0" t="n">
        <f aca="false">Unread!G68</f>
        <v>0.01171875</v>
      </c>
      <c r="E68" s="0" t="str">
        <f aca="false">Unread!H68</f>
        <v>No</v>
      </c>
    </row>
    <row r="69" customFormat="false" ht="15" hidden="true" customHeight="false" outlineLevel="0" collapsed="false">
      <c r="A69" s="0" t="str">
        <f aca="false">Unread!A69</f>
        <v>The Hero with a Thousand Faces</v>
      </c>
      <c r="B69" s="0" t="n">
        <f aca="false">Unread!E69</f>
        <v>5</v>
      </c>
      <c r="C69" s="0" t="n">
        <f aca="false">Unread!F69</f>
        <v>432</v>
      </c>
      <c r="D69" s="0" t="n">
        <f aca="false">Unread!G69</f>
        <v>0.0115740740740741</v>
      </c>
      <c r="E69" s="0" t="str">
        <f aca="false">Unread!H69</f>
        <v>No</v>
      </c>
    </row>
    <row r="70" customFormat="false" ht="15" hidden="true" customHeight="false" outlineLevel="0" collapsed="false">
      <c r="A70" s="0" t="str">
        <f aca="false">Unread!A70</f>
        <v>Mind in the Balance: Meditation in Science, Buddhism, and Christianity  </v>
      </c>
      <c r="B70" s="0" t="n">
        <f aca="false">Unread!E70</f>
        <v>3</v>
      </c>
      <c r="C70" s="0" t="n">
        <f aca="false">Unread!F70</f>
        <v>264</v>
      </c>
      <c r="D70" s="0" t="n">
        <f aca="false">Unread!G70</f>
        <v>0.0113636363636364</v>
      </c>
      <c r="E70" s="0" t="str">
        <f aca="false">Unread!H70</f>
        <v>No</v>
      </c>
    </row>
    <row r="71" customFormat="false" ht="15" hidden="true" customHeight="false" outlineLevel="0" collapsed="false">
      <c r="A71" s="0" t="str">
        <f aca="false">Unread!A71</f>
        <v>The Elements of Journalism</v>
      </c>
      <c r="B71" s="0" t="n">
        <f aca="false">Unread!E71</f>
        <v>4</v>
      </c>
      <c r="C71" s="0" t="n">
        <f aca="false">Unread!F71</f>
        <v>352</v>
      </c>
      <c r="D71" s="0" t="n">
        <f aca="false">Unread!G71</f>
        <v>0.0113636363636364</v>
      </c>
      <c r="E71" s="0" t="str">
        <f aca="false">Unread!H71</f>
        <v>No</v>
      </c>
    </row>
    <row r="72" customFormat="false" ht="15" hidden="true" customHeight="false" outlineLevel="0" collapsed="false">
      <c r="A72" s="0" t="str">
        <f aca="false">Unread!A72</f>
        <v>Custer's Last Stand: The Anatomy of an American Myth</v>
      </c>
      <c r="B72" s="0" t="n">
        <f aca="false">Unread!E72</f>
        <v>3</v>
      </c>
      <c r="C72" s="0" t="n">
        <f aca="false">Unread!F72</f>
        <v>266</v>
      </c>
      <c r="D72" s="0" t="n">
        <f aca="false">Unread!G72</f>
        <v>0.0112781954887218</v>
      </c>
      <c r="E72" s="0" t="str">
        <f aca="false">Unread!H72</f>
        <v>No</v>
      </c>
    </row>
    <row r="73" customFormat="false" ht="15" hidden="true" customHeight="false" outlineLevel="0" collapsed="false">
      <c r="A73" s="0" t="str">
        <f aca="false">Unread!A73</f>
        <v>Scattered</v>
      </c>
      <c r="B73" s="0" t="n">
        <f aca="false">Unread!E73</f>
        <v>4</v>
      </c>
      <c r="C73" s="0" t="n">
        <f aca="false">Unread!F73</f>
        <v>368</v>
      </c>
      <c r="D73" s="0" t="n">
        <f aca="false">Unread!G73</f>
        <v>0.0108695652173913</v>
      </c>
      <c r="E73" s="0" t="str">
        <f aca="false">Unread!H73</f>
        <v>No</v>
      </c>
    </row>
    <row r="74" customFormat="false" ht="15" hidden="true" customHeight="false" outlineLevel="0" collapsed="false">
      <c r="A74" s="0" t="str">
        <f aca="false">Unread!A74</f>
        <v>History of Nevada: Elliot</v>
      </c>
      <c r="B74" s="0" t="n">
        <f aca="false">Unread!E74</f>
        <v>3</v>
      </c>
      <c r="C74" s="0" t="n">
        <f aca="false">Unread!F74</f>
        <v>277</v>
      </c>
      <c r="D74" s="0" t="n">
        <f aca="false">Unread!G74</f>
        <v>0.0108303249097473</v>
      </c>
      <c r="E74" s="0" t="str">
        <f aca="false">Unread!H74</f>
        <v>No</v>
      </c>
    </row>
    <row r="75" customFormat="false" ht="15" hidden="true" customHeight="false" outlineLevel="0" collapsed="false">
      <c r="A75" s="0" t="str">
        <f aca="false">Unread!A75</f>
        <v>One Man Against the World</v>
      </c>
      <c r="B75" s="0" t="n">
        <f aca="false">Unread!E75</f>
        <v>4</v>
      </c>
      <c r="C75" s="0" t="n">
        <f aca="false">Unread!F75</f>
        <v>384</v>
      </c>
      <c r="D75" s="0" t="n">
        <f aca="false">Unread!G75</f>
        <v>0.0104166666666667</v>
      </c>
      <c r="E75" s="0" t="str">
        <f aca="false">Unread!H75</f>
        <v>No</v>
      </c>
    </row>
    <row r="76" customFormat="false" ht="15" hidden="true" customHeight="false" outlineLevel="0" collapsed="false">
      <c r="A76" s="0" t="str">
        <f aca="false">Unread!A76</f>
        <v>The Gatekeepers: How the White House Chiefs of Staff Define Every Presidency  </v>
      </c>
      <c r="B76" s="0" t="n">
        <f aca="false">Unread!E76</f>
        <v>4</v>
      </c>
      <c r="C76" s="0" t="n">
        <f aca="false">Unread!F76</f>
        <v>384</v>
      </c>
      <c r="D76" s="0" t="n">
        <f aca="false">Unread!G76</f>
        <v>0.0104166666666667</v>
      </c>
      <c r="E76" s="0" t="str">
        <f aca="false">Unread!H76</f>
        <v>No</v>
      </c>
    </row>
    <row r="77" customFormat="false" ht="15" hidden="true" customHeight="false" outlineLevel="0" collapsed="false">
      <c r="A77" s="0" t="str">
        <f aca="false">Unread!A77</f>
        <v>Storm in a Teacup: The Physics of Everyday Life  </v>
      </c>
      <c r="B77" s="0" t="n">
        <f aca="false">Unread!E77</f>
        <v>3</v>
      </c>
      <c r="C77" s="0" t="n">
        <f aca="false">Unread!F77</f>
        <v>288</v>
      </c>
      <c r="D77" s="0" t="n">
        <f aca="false">Unread!G77</f>
        <v>0.0104166666666667</v>
      </c>
      <c r="E77" s="0" t="str">
        <f aca="false">Unread!H77</f>
        <v>No</v>
      </c>
    </row>
    <row r="78" customFormat="false" ht="15" hidden="true" customHeight="false" outlineLevel="0" collapsed="false">
      <c r="A78" s="0" t="str">
        <f aca="false">Unread!A78</f>
        <v>14-18: Understanding the Great War</v>
      </c>
      <c r="B78" s="0" t="n">
        <f aca="false">Unread!E78</f>
        <v>3</v>
      </c>
      <c r="C78" s="0" t="n">
        <f aca="false">Unread!F78</f>
        <v>288</v>
      </c>
      <c r="D78" s="0" t="n">
        <f aca="false">Unread!G78</f>
        <v>0.0104166666666667</v>
      </c>
      <c r="E78" s="0" t="str">
        <f aca="false">Unread!H78</f>
        <v>No</v>
      </c>
    </row>
    <row r="79" customFormat="false" ht="15" hidden="true" customHeight="false" outlineLevel="0" collapsed="false">
      <c r="A79" s="0" t="str">
        <f aca="false">Unread!A79</f>
        <v>Thinking Fast and Slow</v>
      </c>
      <c r="B79" s="0" t="n">
        <f aca="false">Unread!E79</f>
        <v>5</v>
      </c>
      <c r="C79" s="0" t="n">
        <f aca="false">Unread!F79</f>
        <v>499</v>
      </c>
      <c r="D79" s="0" t="n">
        <f aca="false">Unread!G79</f>
        <v>0.0100200400801603</v>
      </c>
      <c r="E79" s="0" t="str">
        <f aca="false">Unread!H79</f>
        <v>No</v>
      </c>
    </row>
    <row r="80" customFormat="false" ht="15" hidden="true" customHeight="false" outlineLevel="0" collapsed="false">
      <c r="A80" s="0" t="str">
        <f aca="false">Unread!A80</f>
        <v>The Age of American Unreason</v>
      </c>
      <c r="B80" s="0" t="n">
        <f aca="false">Unread!E80</f>
        <v>4</v>
      </c>
      <c r="C80" s="0" t="n">
        <f aca="false">Unread!F80</f>
        <v>400</v>
      </c>
      <c r="D80" s="0" t="n">
        <f aca="false">Unread!G80</f>
        <v>0.01</v>
      </c>
      <c r="E80" s="0" t="str">
        <f aca="false">Unread!H80</f>
        <v>No</v>
      </c>
    </row>
    <row r="81" customFormat="false" ht="15" hidden="true" customHeight="false" outlineLevel="0" collapsed="false">
      <c r="A81" s="0" t="str">
        <f aca="false">Unread!A81</f>
        <v>Ohio A Personal Portrait of the 17th State</v>
      </c>
      <c r="B81" s="0" t="n">
        <f aca="false">Unread!E81</f>
        <v>2</v>
      </c>
      <c r="C81" s="0" t="n">
        <f aca="false">Unread!F81</f>
        <v>200</v>
      </c>
      <c r="D81" s="0" t="n">
        <f aca="false">Unread!G81</f>
        <v>0.01</v>
      </c>
      <c r="E81" s="0" t="str">
        <f aca="false">Unread!H81</f>
        <v>No</v>
      </c>
    </row>
    <row r="82" customFormat="false" ht="15" hidden="true" customHeight="false" outlineLevel="0" collapsed="false">
      <c r="A82" s="0" t="str">
        <f aca="false">Unread!A82</f>
        <v>Guidebook for Marines</v>
      </c>
      <c r="B82" s="0" t="n">
        <f aca="false">Unread!E82</f>
        <v>4</v>
      </c>
      <c r="C82" s="0" t="n">
        <f aca="false">Unread!F82</f>
        <v>400</v>
      </c>
      <c r="D82" s="0" t="n">
        <f aca="false">Unread!G82</f>
        <v>0.01</v>
      </c>
      <c r="E82" s="0" t="str">
        <f aca="false">Unread!H82</f>
        <v>No</v>
      </c>
    </row>
    <row r="83" customFormat="false" ht="15" hidden="true" customHeight="false" outlineLevel="0" collapsed="false">
      <c r="A83" s="0" t="str">
        <f aca="false">Unread!A83</f>
        <v>The Gamble: General Petraeus and the American Military Adventure in Iraq  </v>
      </c>
      <c r="B83" s="0" t="n">
        <f aca="false">Unread!E83</f>
        <v>4</v>
      </c>
      <c r="C83" s="0" t="n">
        <f aca="false">Unread!F83</f>
        <v>416</v>
      </c>
      <c r="D83" s="0" t="n">
        <f aca="false">Unread!G83</f>
        <v>0.00961538461538462</v>
      </c>
      <c r="E83" s="0" t="str">
        <f aca="false">Unread!H83</f>
        <v>No</v>
      </c>
    </row>
    <row r="84" customFormat="false" ht="15" hidden="true" customHeight="false" outlineLevel="0" collapsed="false">
      <c r="A84" s="0" t="str">
        <f aca="false">Unread!A84</f>
        <v>The Alchemist</v>
      </c>
      <c r="B84" s="0" t="n">
        <f aca="false">Unread!E84</f>
        <v>2</v>
      </c>
      <c r="C84" s="0" t="n">
        <f aca="false">Unread!F84</f>
        <v>208</v>
      </c>
      <c r="D84" s="0" t="n">
        <f aca="false">Unread!G84</f>
        <v>0.00961538461538462</v>
      </c>
      <c r="E84" s="0" t="str">
        <f aca="false">Unread!H84</f>
        <v>No</v>
      </c>
    </row>
    <row r="85" customFormat="false" ht="15" hidden="true" customHeight="false" outlineLevel="0" collapsed="false">
      <c r="A85" s="0" t="str">
        <f aca="false">Unread!A85</f>
        <v>Physics Made Simple: A Complete Introduction to the Basic Principles of This Fundamental Science (Made    - Simple (Broadway Books))  </v>
      </c>
      <c r="B85" s="0" t="n">
        <f aca="false">Unread!E85</f>
        <v>2</v>
      </c>
      <c r="C85" s="0" t="n">
        <f aca="false">Unread!F85</f>
        <v>208</v>
      </c>
      <c r="D85" s="0" t="n">
        <f aca="false">Unread!G85</f>
        <v>0.00961538461538462</v>
      </c>
      <c r="E85" s="0" t="str">
        <f aca="false">Unread!H85</f>
        <v>No</v>
      </c>
    </row>
    <row r="86" customFormat="false" ht="15" hidden="true" customHeight="false" outlineLevel="0" collapsed="false">
      <c r="A86" s="0" t="str">
        <f aca="false">Unread!A86</f>
        <v>Knocking on Labor's Door</v>
      </c>
      <c r="B86" s="0" t="n">
        <f aca="false">Unread!E86</f>
        <v>3</v>
      </c>
      <c r="C86" s="0" t="n">
        <f aca="false">Unread!F86</f>
        <v>312</v>
      </c>
      <c r="D86" s="0" t="n">
        <f aca="false">Unread!G86</f>
        <v>0.00961538461538462</v>
      </c>
      <c r="E86" s="0" t="str">
        <f aca="false">Unread!H86</f>
        <v>No</v>
      </c>
    </row>
    <row r="87" customFormat="false" ht="15" hidden="true" customHeight="false" outlineLevel="0" collapsed="false">
      <c r="A87" s="0" t="str">
        <f aca="false">Unread!A87</f>
        <v>Boots and Saddles</v>
      </c>
      <c r="B87" s="0" t="n">
        <f aca="false">Unread!E87</f>
        <v>3</v>
      </c>
      <c r="C87" s="0" t="n">
        <f aca="false">Unread!F87</f>
        <v>316</v>
      </c>
      <c r="D87" s="0" t="n">
        <f aca="false">Unread!G87</f>
        <v>0.00949367088607595</v>
      </c>
      <c r="E87" s="0" t="str">
        <f aca="false">Unread!H87</f>
        <v>No</v>
      </c>
    </row>
    <row r="88" customFormat="false" ht="15" hidden="true" customHeight="false" outlineLevel="0" collapsed="false">
      <c r="A88" s="0" t="str">
        <f aca="false">Unread!A88</f>
        <v>Bringing up Bebe</v>
      </c>
      <c r="B88" s="0" t="n">
        <f aca="false">Unread!E88</f>
        <v>4</v>
      </c>
      <c r="C88" s="0" t="n">
        <f aca="false">Unread!F88</f>
        <v>432</v>
      </c>
      <c r="D88" s="0" t="n">
        <f aca="false">Unread!G88</f>
        <v>0.00925925925925926</v>
      </c>
      <c r="E88" s="0" t="str">
        <f aca="false">Unread!H88</f>
        <v>No</v>
      </c>
    </row>
    <row r="89" customFormat="false" ht="15" hidden="true" customHeight="false" outlineLevel="0" collapsed="false">
      <c r="A89" s="0" t="str">
        <f aca="false">Unread!A89</f>
        <v>I Am a Strange Loop  </v>
      </c>
      <c r="B89" s="0" t="n">
        <f aca="false">Unread!E89</f>
        <v>4</v>
      </c>
      <c r="C89" s="0" t="n">
        <f aca="false">Unread!F89</f>
        <v>436</v>
      </c>
      <c r="D89" s="0" t="n">
        <f aca="false">Unread!G89</f>
        <v>0.0091743119266055</v>
      </c>
      <c r="E89" s="0" t="str">
        <f aca="false">Unread!H89</f>
        <v>No</v>
      </c>
    </row>
    <row r="90" customFormat="false" ht="15" hidden="true" customHeight="false" outlineLevel="0" collapsed="false">
      <c r="A90" s="0" t="str">
        <f aca="false">Unread!A90</f>
        <v>The Black Swan</v>
      </c>
      <c r="B90" s="0" t="n">
        <f aca="false">Unread!E90</f>
        <v>4</v>
      </c>
      <c r="C90" s="0" t="n">
        <f aca="false">Unread!F90</f>
        <v>444</v>
      </c>
      <c r="D90" s="0" t="n">
        <f aca="false">Unread!G90</f>
        <v>0.00900900900900901</v>
      </c>
      <c r="E90" s="0" t="str">
        <f aca="false">Unread!H90</f>
        <v>No</v>
      </c>
    </row>
    <row r="91" customFormat="false" ht="15" hidden="true" customHeight="false" outlineLevel="0" collapsed="false">
      <c r="A91" s="0" t="str">
        <f aca="false">Unread!A91</f>
        <v>Eichmann in Jerusalem: A Report on the Banality of Evil (Penguin Classics)  </v>
      </c>
      <c r="B91" s="0" t="n">
        <f aca="false">Unread!E91</f>
        <v>3</v>
      </c>
      <c r="C91" s="0" t="n">
        <f aca="false">Unread!F91</f>
        <v>336</v>
      </c>
      <c r="D91" s="0" t="n">
        <f aca="false">Unread!G91</f>
        <v>0.00892857142857143</v>
      </c>
      <c r="E91" s="0" t="str">
        <f aca="false">Unread!H91</f>
        <v>No</v>
      </c>
    </row>
    <row r="92" customFormat="false" ht="15" hidden="true" customHeight="false" outlineLevel="0" collapsed="false">
      <c r="A92" s="0" t="str">
        <f aca="false">Unread!A92</f>
        <v>The Relativity of Wrong (Asimov)</v>
      </c>
      <c r="B92" s="0" t="n">
        <f aca="false">Unread!E92</f>
        <v>2</v>
      </c>
      <c r="C92" s="0" t="n">
        <f aca="false">Unread!F92</f>
        <v>225</v>
      </c>
      <c r="D92" s="0" t="n">
        <f aca="false">Unread!G92</f>
        <v>0.00888888888888889</v>
      </c>
      <c r="E92" s="0" t="str">
        <f aca="false">Unread!H92</f>
        <v>No</v>
      </c>
    </row>
    <row r="93" customFormat="false" ht="15" hidden="true" customHeight="false" outlineLevel="0" collapsed="false">
      <c r="A93" s="0" t="str">
        <f aca="false">Unread!A93</f>
        <v>Nuclear Weapons and Coercive Diplomacy</v>
      </c>
      <c r="B93" s="0" t="n">
        <f aca="false">Unread!E93</f>
        <v>3</v>
      </c>
      <c r="C93" s="0" t="n">
        <f aca="false">Unread!F93</f>
        <v>344</v>
      </c>
      <c r="D93" s="0" t="n">
        <f aca="false">Unread!G93</f>
        <v>0.00872093023255814</v>
      </c>
      <c r="E93" s="0" t="str">
        <f aca="false">Unread!H93</f>
        <v>No</v>
      </c>
    </row>
    <row r="94" customFormat="false" ht="15" hidden="true" customHeight="false" outlineLevel="0" collapsed="false">
      <c r="A94" s="0" t="str">
        <f aca="false">Unread!A94</f>
        <v>A Generation of Sociopaths</v>
      </c>
      <c r="B94" s="0" t="n">
        <f aca="false">Unread!E94</f>
        <v>4</v>
      </c>
      <c r="C94" s="0" t="n">
        <f aca="false">Unread!F94</f>
        <v>464</v>
      </c>
      <c r="D94" s="0" t="n">
        <f aca="false">Unread!G94</f>
        <v>0.00862068965517241</v>
      </c>
      <c r="E94" s="0" t="str">
        <f aca="false">Unread!H94</f>
        <v>No</v>
      </c>
    </row>
    <row r="95" customFormat="false" ht="15" hidden="true" customHeight="false" outlineLevel="0" collapsed="false">
      <c r="A95" s="0" t="str">
        <f aca="false">Unread!A95</f>
        <v>Abraham Lincoln and the Structure of Reason  </v>
      </c>
      <c r="B95" s="0" t="n">
        <f aca="false">Unread!E95</f>
        <v>4</v>
      </c>
      <c r="C95" s="0" t="n">
        <f aca="false">Unread!F95</f>
        <v>464</v>
      </c>
      <c r="D95" s="0" t="n">
        <f aca="false">Unread!G95</f>
        <v>0.00862068965517241</v>
      </c>
      <c r="E95" s="0" t="str">
        <f aca="false">Unread!H95</f>
        <v>No</v>
      </c>
    </row>
    <row r="96" customFormat="false" ht="15" hidden="true" customHeight="false" outlineLevel="0" collapsed="false">
      <c r="A96" s="0" t="str">
        <f aca="false">Unread!A96</f>
        <v>Normal Accidents: Living with High Risk Technologies (Charles Perrow)</v>
      </c>
      <c r="B96" s="0" t="n">
        <f aca="false">Unread!E96</f>
        <v>4</v>
      </c>
      <c r="C96" s="0" t="n">
        <f aca="false">Unread!F96</f>
        <v>464</v>
      </c>
      <c r="D96" s="0" t="n">
        <f aca="false">Unread!G96</f>
        <v>0.00862068965517241</v>
      </c>
      <c r="E96" s="0" t="str">
        <f aca="false">Unread!H96</f>
        <v>No</v>
      </c>
    </row>
    <row r="97" customFormat="false" ht="15" hidden="true" customHeight="false" outlineLevel="0" collapsed="false">
      <c r="A97" s="0" t="str">
        <f aca="false">Unread!A97</f>
        <v>Silence: A Christian History  </v>
      </c>
      <c r="B97" s="0" t="n">
        <f aca="false">Unread!E97</f>
        <v>3</v>
      </c>
      <c r="C97" s="0" t="n">
        <f aca="false">Unread!F97</f>
        <v>352</v>
      </c>
      <c r="D97" s="0" t="n">
        <f aca="false">Unread!G97</f>
        <v>0.00852272727272727</v>
      </c>
      <c r="E97" s="0" t="str">
        <f aca="false">Unread!H97</f>
        <v>No</v>
      </c>
    </row>
    <row r="98" customFormat="false" ht="15" hidden="true" customHeight="false" outlineLevel="0" collapsed="false">
      <c r="A98" s="0" t="str">
        <f aca="false">Unread!A98</f>
        <v>The Eastern Front 1914-1917</v>
      </c>
      <c r="B98" s="0" t="n">
        <f aca="false">Unread!E98</f>
        <v>3</v>
      </c>
      <c r="C98" s="0" t="n">
        <f aca="false">Unread!F98</f>
        <v>352</v>
      </c>
      <c r="D98" s="0" t="n">
        <f aca="false">Unread!G98</f>
        <v>0.00852272727272727</v>
      </c>
      <c r="E98" s="0" t="str">
        <f aca="false">Unread!H98</f>
        <v>No</v>
      </c>
    </row>
    <row r="99" customFormat="false" ht="15" hidden="true" customHeight="false" outlineLevel="0" collapsed="false">
      <c r="A99" s="0" t="str">
        <f aca="false">Unread!A99</f>
        <v>The Battle for God</v>
      </c>
      <c r="B99" s="0" t="n">
        <f aca="false">Unread!E99</f>
        <v>4</v>
      </c>
      <c r="C99" s="0" t="n">
        <f aca="false">Unread!F99</f>
        <v>480</v>
      </c>
      <c r="D99" s="0" t="n">
        <f aca="false">Unread!G99</f>
        <v>0.00833333333333333</v>
      </c>
      <c r="E99" s="0" t="str">
        <f aca="false">Unread!H99</f>
        <v>No</v>
      </c>
    </row>
    <row r="100" customFormat="false" ht="15" hidden="true" customHeight="false" outlineLevel="0" collapsed="false">
      <c r="A100" s="0" t="str">
        <f aca="false">Unread!A100</f>
        <v>Warriors and Citizens</v>
      </c>
      <c r="B100" s="0" t="n">
        <f aca="false">Unread!E100</f>
        <v>3</v>
      </c>
      <c r="C100" s="0" t="n">
        <f aca="false">Unread!F100</f>
        <v>360</v>
      </c>
      <c r="D100" s="0" t="n">
        <f aca="false">Unread!G100</f>
        <v>0.00833333333333333</v>
      </c>
      <c r="E100" s="0" t="str">
        <f aca="false">Unread!H100</f>
        <v>No</v>
      </c>
    </row>
    <row r="101" customFormat="false" ht="15" hidden="true" customHeight="false" outlineLevel="0" collapsed="false">
      <c r="A101" s="0" t="str">
        <f aca="false">Unread!A101</f>
        <v>Bible Nation</v>
      </c>
      <c r="B101" s="0" t="n">
        <f aca="false">Unread!E101</f>
        <v>2</v>
      </c>
      <c r="C101" s="0" t="n">
        <f aca="false">Unread!F101</f>
        <v>240</v>
      </c>
      <c r="D101" s="0" t="n">
        <f aca="false">Unread!G101</f>
        <v>0.00833333333333333</v>
      </c>
      <c r="E101" s="0" t="str">
        <f aca="false">Unread!H101</f>
        <v>No</v>
      </c>
    </row>
    <row r="102" customFormat="false" ht="15" hidden="true" customHeight="false" outlineLevel="0" collapsed="false">
      <c r="A102" s="0" t="str">
        <f aca="false">Unread!A102</f>
        <v>Leaders Eat Last</v>
      </c>
      <c r="B102" s="0" t="n">
        <f aca="false">Unread!E102</f>
        <v>3</v>
      </c>
      <c r="C102" s="0" t="n">
        <f aca="false">Unread!F102</f>
        <v>368</v>
      </c>
      <c r="D102" s="0" t="n">
        <f aca="false">Unread!G102</f>
        <v>0.00815217391304348</v>
      </c>
      <c r="E102" s="0" t="str">
        <f aca="false">Unread!H102</f>
        <v>No</v>
      </c>
    </row>
    <row r="103" customFormat="false" ht="15" hidden="true" customHeight="false" outlineLevel="0" collapsed="false">
      <c r="A103" s="0" t="str">
        <f aca="false">Unread!A103</f>
        <v>Legionnaire</v>
      </c>
      <c r="B103" s="0" t="n">
        <f aca="false">Unread!E103</f>
        <v>3</v>
      </c>
      <c r="C103" s="0" t="n">
        <f aca="false">Unread!F103</f>
        <v>368</v>
      </c>
      <c r="D103" s="0" t="n">
        <f aca="false">Unread!G103</f>
        <v>0.00815217391304348</v>
      </c>
      <c r="E103" s="0" t="str">
        <f aca="false">Unread!H103</f>
        <v>No</v>
      </c>
    </row>
    <row r="104" customFormat="false" ht="15" hidden="true" customHeight="false" outlineLevel="0" collapsed="false">
      <c r="A104" s="0" t="str">
        <f aca="false">Unread!A104</f>
        <v>Empire of the Summer Moon: Quanah Parker and the Rise and Fall of the Comanche's, the Most Powerful</v>
      </c>
      <c r="B104" s="0" t="n">
        <f aca="false">Unread!E104</f>
        <v>3</v>
      </c>
      <c r="C104" s="0" t="n">
        <f aca="false">Unread!F104</f>
        <v>371</v>
      </c>
      <c r="D104" s="0" t="n">
        <f aca="false">Unread!G104</f>
        <v>0.00808625336927224</v>
      </c>
      <c r="E104" s="0" t="str">
        <f aca="false">Unread!H104</f>
        <v>No</v>
      </c>
    </row>
    <row r="105" customFormat="false" ht="15" hidden="true" customHeight="false" outlineLevel="0" collapsed="false">
      <c r="A105" s="0" t="str">
        <f aca="false">Unread!A105</f>
        <v>Living Buddha, Living Christ 10th Anniversary Edition  </v>
      </c>
      <c r="B105" s="0" t="n">
        <f aca="false">Unread!E105</f>
        <v>2</v>
      </c>
      <c r="C105" s="0" t="n">
        <f aca="false">Unread!F105</f>
        <v>250</v>
      </c>
      <c r="D105" s="0" t="n">
        <f aca="false">Unread!G105</f>
        <v>0.008</v>
      </c>
      <c r="E105" s="0" t="str">
        <f aca="false">Unread!H105</f>
        <v>No</v>
      </c>
    </row>
    <row r="106" customFormat="false" ht="15" hidden="true" customHeight="false" outlineLevel="0" collapsed="false">
      <c r="A106" s="0" t="str">
        <f aca="false">Unread!A106</f>
        <v>Jerusalem: One City Three Faiths</v>
      </c>
      <c r="B106" s="0" t="n">
        <f aca="false">Unread!E106</f>
        <v>4</v>
      </c>
      <c r="C106" s="0" t="n">
        <f aca="false">Unread!F106</f>
        <v>512</v>
      </c>
      <c r="D106" s="0" t="n">
        <f aca="false">Unread!G106</f>
        <v>0.0078125</v>
      </c>
      <c r="E106" s="0" t="str">
        <f aca="false">Unread!H106</f>
        <v>No</v>
      </c>
    </row>
    <row r="107" customFormat="false" ht="15" hidden="true" customHeight="false" outlineLevel="0" collapsed="false">
      <c r="A107" s="0" t="str">
        <f aca="false">Unread!A107</f>
        <v>Fiasco</v>
      </c>
      <c r="B107" s="0" t="n">
        <f aca="false">Unread!E107</f>
        <v>4</v>
      </c>
      <c r="C107" s="0" t="n">
        <f aca="false">Unread!F107</f>
        <v>512</v>
      </c>
      <c r="D107" s="0" t="n">
        <f aca="false">Unread!G107</f>
        <v>0.0078125</v>
      </c>
      <c r="E107" s="0" t="str">
        <f aca="false">Unread!H107</f>
        <v>No</v>
      </c>
    </row>
    <row r="108" customFormat="false" ht="15" hidden="true" customHeight="false" outlineLevel="0" collapsed="false">
      <c r="A108" s="0" t="str">
        <f aca="false">Unread!A108</f>
        <v>Wrapped in the Flag: A Personal History of America's Radical Right</v>
      </c>
      <c r="B108" s="0" t="n">
        <f aca="false">Unread!E108</f>
        <v>2</v>
      </c>
      <c r="C108" s="0" t="n">
        <f aca="false">Unread!F108</f>
        <v>264</v>
      </c>
      <c r="D108" s="0" t="n">
        <f aca="false">Unread!G108</f>
        <v>0.00757575757575758</v>
      </c>
      <c r="E108" s="0" t="str">
        <f aca="false">Unread!H108</f>
        <v>No</v>
      </c>
    </row>
    <row r="109" customFormat="false" ht="15" hidden="true" customHeight="false" outlineLevel="0" collapsed="false">
      <c r="A109" s="0" t="str">
        <f aca="false">Unread!A109</f>
        <v>War Against War: The American Fight for Peace, 1914-1918    </v>
      </c>
      <c r="B109" s="0" t="n">
        <f aca="false">Unread!E109</f>
        <v>3</v>
      </c>
      <c r="C109" s="0" t="n">
        <f aca="false">Unread!F109</f>
        <v>400</v>
      </c>
      <c r="D109" s="0" t="n">
        <f aca="false">Unread!G109</f>
        <v>0.0075</v>
      </c>
      <c r="E109" s="0" t="str">
        <f aca="false">Unread!H109</f>
        <v>No</v>
      </c>
    </row>
    <row r="110" customFormat="false" ht="15" hidden="true" customHeight="false" outlineLevel="0" collapsed="false">
      <c r="A110" s="0" t="str">
        <f aca="false">Unread!A110</f>
        <v>The Information: A History, A Theory, A Flood</v>
      </c>
      <c r="B110" s="0" t="n">
        <f aca="false">Unread!E110</f>
        <v>4</v>
      </c>
      <c r="C110" s="0" t="n">
        <f aca="false">Unread!F110</f>
        <v>544</v>
      </c>
      <c r="D110" s="0" t="n">
        <f aca="false">Unread!G110</f>
        <v>0.00735294117647059</v>
      </c>
      <c r="E110" s="0" t="str">
        <f aca="false">Unread!H110</f>
        <v>No</v>
      </c>
    </row>
    <row r="111" customFormat="false" ht="15" hidden="true" customHeight="false" outlineLevel="0" collapsed="false">
      <c r="A111" s="0" t="str">
        <f aca="false">Unread!A111</f>
        <v>On Killing</v>
      </c>
      <c r="B111" s="0" t="n">
        <f aca="false">Unread!E111</f>
        <v>3</v>
      </c>
      <c r="C111" s="0" t="n">
        <f aca="false">Unread!F111</f>
        <v>416</v>
      </c>
      <c r="D111" s="0" t="n">
        <f aca="false">Unread!G111</f>
        <v>0.00721153846153846</v>
      </c>
      <c r="E111" s="0" t="str">
        <f aca="false">Unread!H111</f>
        <v>No</v>
      </c>
    </row>
    <row r="112" customFormat="false" ht="15" hidden="true" customHeight="false" outlineLevel="0" collapsed="false">
      <c r="A112" s="0" t="str">
        <f aca="false">Unread!A112</f>
        <v>Don't Know Much About Mythology</v>
      </c>
      <c r="B112" s="0" t="n">
        <f aca="false">Unread!E112</f>
        <v>4</v>
      </c>
      <c r="C112" s="0" t="n">
        <f aca="false">Unread!F112</f>
        <v>560</v>
      </c>
      <c r="D112" s="0" t="n">
        <f aca="false">Unread!G112</f>
        <v>0.00714285714285714</v>
      </c>
      <c r="E112" s="0" t="str">
        <f aca="false">Unread!H112</f>
        <v>No</v>
      </c>
    </row>
    <row r="113" customFormat="false" ht="15" hidden="true" customHeight="false" outlineLevel="0" collapsed="false">
      <c r="A113" s="0" t="str">
        <f aca="false">Unread!A113</f>
        <v>A Saturnalia of Bunk</v>
      </c>
      <c r="B113" s="0" t="n">
        <f aca="false">Unread!E113</f>
        <v>2</v>
      </c>
      <c r="C113" s="0" t="n">
        <f aca="false">Unread!F113</f>
        <v>284</v>
      </c>
      <c r="D113" s="0" t="n">
        <f aca="false">Unread!G113</f>
        <v>0.00704225352112676</v>
      </c>
      <c r="E113" s="0" t="str">
        <f aca="false">Unread!H113</f>
        <v>No</v>
      </c>
    </row>
    <row r="114" customFormat="false" ht="15" hidden="true" customHeight="false" outlineLevel="0" collapsed="false">
      <c r="A114" s="0" t="str">
        <f aca="false">Unread!A114</f>
        <v>The Psychopath Test: A Journey Through the Madness Industry  </v>
      </c>
      <c r="B114" s="0" t="n">
        <f aca="false">Unread!E114</f>
        <v>2</v>
      </c>
      <c r="C114" s="0" t="n">
        <f aca="false">Unread!F114</f>
        <v>288</v>
      </c>
      <c r="D114" s="0" t="n">
        <f aca="false">Unread!G114</f>
        <v>0.00694444444444444</v>
      </c>
      <c r="E114" s="0" t="str">
        <f aca="false">Unread!H114</f>
        <v>No</v>
      </c>
    </row>
    <row r="115" customFormat="false" ht="15" hidden="true" customHeight="false" outlineLevel="0" collapsed="false">
      <c r="A115" s="0" t="str">
        <f aca="false">Unread!A115</f>
        <v>A Testament of Hope: The Essential Writings and Speeches (MLK)</v>
      </c>
      <c r="B115" s="0" t="n">
        <f aca="false">Unread!E115</f>
        <v>5</v>
      </c>
      <c r="C115" s="0" t="n">
        <f aca="false">Unread!F115</f>
        <v>736</v>
      </c>
      <c r="D115" s="0" t="n">
        <f aca="false">Unread!G115</f>
        <v>0.00679347826086957</v>
      </c>
      <c r="E115" s="0" t="str">
        <f aca="false">Unread!H115</f>
        <v>No</v>
      </c>
    </row>
    <row r="116" customFormat="false" ht="15" hidden="true" customHeight="false" outlineLevel="0" collapsed="false">
      <c r="A116" s="0" t="str">
        <f aca="false">Unread!A116</f>
        <v>History of Religion a Sketch of Primitive Religious Beliefs and Practices, and of the Origin and Character of the Great Systems  </v>
      </c>
      <c r="B116" s="0" t="n">
        <f aca="false">Unread!E116</f>
        <v>1</v>
      </c>
      <c r="C116" s="0" t="n">
        <f aca="false">Unread!F116</f>
        <v>148</v>
      </c>
      <c r="D116" s="0" t="n">
        <f aca="false">Unread!G116</f>
        <v>0.00675675675675676</v>
      </c>
      <c r="E116" s="0" t="str">
        <f aca="false">Unread!H116</f>
        <v>No</v>
      </c>
    </row>
    <row r="117" customFormat="false" ht="15" hidden="true" customHeight="false" outlineLevel="0" collapsed="false">
      <c r="A117" s="0" t="str">
        <f aca="false">Unread!A117</f>
        <v>The Big Bonanza</v>
      </c>
      <c r="B117" s="0" t="n">
        <f aca="false">Unread!E117</f>
        <v>3</v>
      </c>
      <c r="C117" s="0" t="n">
        <f aca="false">Unread!F117</f>
        <v>450</v>
      </c>
      <c r="D117" s="0" t="n">
        <f aca="false">Unread!G117</f>
        <v>0.00666666666666667</v>
      </c>
      <c r="E117" s="0" t="str">
        <f aca="false">Unread!H117</f>
        <v>No</v>
      </c>
    </row>
    <row r="118" customFormat="false" ht="15" hidden="true" customHeight="false" outlineLevel="0" collapsed="false">
      <c r="A118" s="0" t="str">
        <f aca="false">Unread!A118</f>
        <v>The New Knighthood</v>
      </c>
      <c r="B118" s="0" t="n">
        <f aca="false">Unread!E118</f>
        <v>3</v>
      </c>
      <c r="C118" s="0" t="n">
        <f aca="false">Unread!F118</f>
        <v>464</v>
      </c>
      <c r="D118" s="0" t="n">
        <f aca="false">Unread!G118</f>
        <v>0.00646551724137931</v>
      </c>
      <c r="E118" s="0" t="str">
        <f aca="false">Unread!H118</f>
        <v>No</v>
      </c>
    </row>
    <row r="119" customFormat="false" ht="15" hidden="true" customHeight="false" outlineLevel="0" collapsed="false">
      <c r="A119" s="0" t="str">
        <f aca="false">Unread!A119</f>
        <v>Hard Times</v>
      </c>
      <c r="B119" s="0" t="n">
        <f aca="false">Unread!E119</f>
        <v>3</v>
      </c>
      <c r="C119" s="0" t="n">
        <f aca="false">Unread!F119</f>
        <v>480</v>
      </c>
      <c r="D119" s="0" t="n">
        <f aca="false">Unread!G119</f>
        <v>0.00625</v>
      </c>
      <c r="E119" s="0" t="str">
        <f aca="false">Unread!H119</f>
        <v>No</v>
      </c>
    </row>
    <row r="120" customFormat="false" ht="15" hidden="true" customHeight="false" outlineLevel="0" collapsed="false">
      <c r="A120" s="0" t="str">
        <f aca="false">Unread!A120</f>
        <v>Black Earth: The Holocaust as History and Warning  </v>
      </c>
      <c r="B120" s="0" t="n">
        <f aca="false">Unread!E120</f>
        <v>3</v>
      </c>
      <c r="C120" s="0" t="n">
        <f aca="false">Unread!F120</f>
        <v>480</v>
      </c>
      <c r="D120" s="0" t="n">
        <f aca="false">Unread!G120</f>
        <v>0.00625</v>
      </c>
      <c r="E120" s="0" t="str">
        <f aca="false">Unread!H120</f>
        <v>No</v>
      </c>
    </row>
    <row r="121" customFormat="false" ht="15" hidden="true" customHeight="false" outlineLevel="0" collapsed="false">
      <c r="A121" s="0" t="str">
        <f aca="false">Unread!A121</f>
        <v>Liberty or Death: The French Revolution </v>
      </c>
      <c r="B121" s="0" t="n">
        <f aca="false">Unread!E121</f>
        <v>3</v>
      </c>
      <c r="C121" s="0" t="n">
        <f aca="false">Unread!F121</f>
        <v>488</v>
      </c>
      <c r="D121" s="0" t="n">
        <f aca="false">Unread!G121</f>
        <v>0.00614754098360656</v>
      </c>
      <c r="E121" s="0" t="str">
        <f aca="false">Unread!H121</f>
        <v>No</v>
      </c>
    </row>
    <row r="122" customFormat="false" ht="15" hidden="true" customHeight="false" outlineLevel="0" collapsed="false">
      <c r="A122" s="0" t="str">
        <f aca="false">Unread!A122</f>
        <v>How Democracies Die</v>
      </c>
      <c r="B122" s="0" t="n">
        <f aca="false">Unread!E122</f>
        <v>2</v>
      </c>
      <c r="C122" s="0" t="n">
        <f aca="false">Unread!F122</f>
        <v>332</v>
      </c>
      <c r="D122" s="0" t="n">
        <f aca="false">Unread!G122</f>
        <v>0.00602409638554217</v>
      </c>
      <c r="E122" s="0" t="str">
        <f aca="false">Unread!H122</f>
        <v>No</v>
      </c>
    </row>
    <row r="123" customFormat="false" ht="15" hidden="true" customHeight="false" outlineLevel="0" collapsed="false">
      <c r="A123" s="0" t="str">
        <f aca="false">Unread!A123</f>
        <v>Venetian Masque</v>
      </c>
      <c r="B123" s="0" t="n">
        <f aca="false">Unread!E123</f>
        <v>2</v>
      </c>
      <c r="C123" s="0" t="n">
        <f aca="false">Unread!F123</f>
        <v>332</v>
      </c>
      <c r="D123" s="0" t="n">
        <f aca="false">Unread!G123</f>
        <v>0.00602409638554217</v>
      </c>
      <c r="E123" s="0" t="str">
        <f aca="false">Unread!H123</f>
        <v>No</v>
      </c>
    </row>
    <row r="124" customFormat="false" ht="15" hidden="true" customHeight="false" outlineLevel="0" collapsed="false">
      <c r="A124" s="0" t="str">
        <f aca="false">Unread!A124</f>
        <v>A Pictorial History of the Great Lakes</v>
      </c>
      <c r="B124" s="0" t="n">
        <f aca="false">Unread!E124</f>
        <v>2</v>
      </c>
      <c r="C124" s="0" t="n">
        <f aca="false">Unread!F124</f>
        <v>344</v>
      </c>
      <c r="D124" s="0" t="n">
        <f aca="false">Unread!G124</f>
        <v>0.00581395348837209</v>
      </c>
      <c r="E124" s="0" t="str">
        <f aca="false">Unread!H124</f>
        <v>No</v>
      </c>
    </row>
    <row r="125" customFormat="false" ht="15" hidden="true" customHeight="false" outlineLevel="0" collapsed="false">
      <c r="A125" s="0" t="str">
        <f aca="false">Unread!A125</f>
        <v>A Man in Full</v>
      </c>
      <c r="B125" s="0" t="n">
        <f aca="false">Unread!E125</f>
        <v>4</v>
      </c>
      <c r="C125" s="0" t="n">
        <f aca="false">Unread!F125</f>
        <v>704</v>
      </c>
      <c r="D125" s="0" t="n">
        <f aca="false">Unread!G125</f>
        <v>0.00568181818181818</v>
      </c>
      <c r="E125" s="0" t="str">
        <f aca="false">Unread!H125</f>
        <v>No</v>
      </c>
    </row>
    <row r="126" customFormat="false" ht="15" hidden="true" customHeight="false" outlineLevel="0" collapsed="false">
      <c r="A126" s="0" t="str">
        <f aca="false">Unread!A126</f>
        <v>The Last King</v>
      </c>
      <c r="B126" s="0" t="n">
        <f aca="false">Unread!E126</f>
        <v>2</v>
      </c>
      <c r="C126" s="0" t="n">
        <f aca="false">Unread!F126</f>
        <v>366</v>
      </c>
      <c r="D126" s="0" t="n">
        <f aca="false">Unread!G126</f>
        <v>0.00546448087431694</v>
      </c>
      <c r="E126" s="0" t="str">
        <f aca="false">Unread!H126</f>
        <v>No</v>
      </c>
    </row>
    <row r="127" customFormat="false" ht="15" hidden="true" customHeight="false" outlineLevel="0" collapsed="false">
      <c r="A127" s="0" t="str">
        <f aca="false">Unread!A127</f>
        <v>Tools of Titans: The Tactics, Routines, and Habits of Billionaires, Icons, and World-Class Performers  </v>
      </c>
      <c r="B127" s="0" t="n">
        <f aca="false">Unread!E127</f>
        <v>4</v>
      </c>
      <c r="C127" s="0" t="n">
        <f aca="false">Unread!F127</f>
        <v>736</v>
      </c>
      <c r="D127" s="0" t="n">
        <f aca="false">Unread!G127</f>
        <v>0.00543478260869565</v>
      </c>
      <c r="E127" s="0" t="str">
        <f aca="false">Unread!H127</f>
        <v>No</v>
      </c>
    </row>
    <row r="128" customFormat="false" ht="15" hidden="true" customHeight="false" outlineLevel="0" collapsed="false">
      <c r="A128" s="0" t="str">
        <f aca="false">Unread!A128</f>
        <v>Nom De Plume: A (Secret) History of Pseudonyms </v>
      </c>
      <c r="B128" s="0" t="n">
        <f aca="false">Unread!E128</f>
        <v>2</v>
      </c>
      <c r="C128" s="0" t="n">
        <f aca="false">Unread!F128</f>
        <v>373</v>
      </c>
      <c r="D128" s="0" t="n">
        <f aca="false">Unread!G128</f>
        <v>0.00536193029490617</v>
      </c>
      <c r="E128" s="0" t="str">
        <f aca="false">Unread!H128</f>
        <v>No</v>
      </c>
    </row>
    <row r="129" customFormat="false" ht="15" hidden="true" customHeight="false" outlineLevel="0" collapsed="false">
      <c r="A129" s="0" t="str">
        <f aca="false">Unread!A129</f>
        <v>Enemies: A History of the FBI</v>
      </c>
      <c r="B129" s="0" t="n">
        <f aca="false">Unread!E129</f>
        <v>3</v>
      </c>
      <c r="C129" s="0" t="n">
        <f aca="false">Unread!F129</f>
        <v>560</v>
      </c>
      <c r="D129" s="0" t="n">
        <f aca="false">Unread!G129</f>
        <v>0.00535714285714286</v>
      </c>
      <c r="E129" s="0" t="str">
        <f aca="false">Unread!H129</f>
        <v>No</v>
      </c>
    </row>
    <row r="130" customFormat="false" ht="15" hidden="true" customHeight="false" outlineLevel="0" collapsed="false">
      <c r="A130" s="0" t="e">
        <f aca="false">unread!#ref!</f>
        <v>#NAME?</v>
      </c>
      <c r="B130" s="0" t="e">
        <f aca="false">unread!#ref!</f>
        <v>#NAME?</v>
      </c>
      <c r="C130" s="0" t="e">
        <f aca="false">unread!#ref!</f>
        <v>#NAME?</v>
      </c>
      <c r="D130" s="0" t="e">
        <f aca="false">unread!#ref!</f>
        <v>#NAME?</v>
      </c>
      <c r="E130" s="0" t="e">
        <f aca="false">unread!#ref!</f>
        <v>#NAME?</v>
      </c>
    </row>
    <row r="131" customFormat="false" ht="15" hidden="true" customHeight="false" outlineLevel="0" collapsed="false">
      <c r="A131" s="0" t="e">
        <f aca="false">unread!#ref!</f>
        <v>#NAME?</v>
      </c>
      <c r="B131" s="0" t="e">
        <f aca="false">unread!#ref!</f>
        <v>#NAME?</v>
      </c>
      <c r="C131" s="0" t="e">
        <f aca="false">unread!#ref!</f>
        <v>#NAME?</v>
      </c>
      <c r="D131" s="0" t="e">
        <f aca="false">unread!#ref!</f>
        <v>#NAME?</v>
      </c>
      <c r="E131" s="0" t="e">
        <f aca="false">unread!#ref!</f>
        <v>#NAME?</v>
      </c>
    </row>
  </sheetData>
  <autoFilter ref="A2:E131">
    <filterColumn colId="4">
      <customFilters and="true">
        <customFilter operator="equal" val="Yes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163</v>
      </c>
      <c r="C1" s="0" t="s">
        <v>4</v>
      </c>
    </row>
    <row r="2" customFormat="false" ht="15" hidden="false" customHeight="false" outlineLevel="0" collapsed="false">
      <c r="A2" s="0" t="s">
        <v>10</v>
      </c>
      <c r="C2" s="0" t="s">
        <v>38</v>
      </c>
    </row>
    <row r="3" customFormat="false" ht="15" hidden="false" customHeight="false" outlineLevel="0" collapsed="false">
      <c r="A3" s="0" t="s">
        <v>12</v>
      </c>
      <c r="C3" s="0" t="s">
        <v>34</v>
      </c>
    </row>
    <row r="4" customFormat="false" ht="15" hidden="false" customHeight="false" outlineLevel="0" collapsed="false">
      <c r="A4" s="0" t="s">
        <v>164</v>
      </c>
      <c r="C4" s="0" t="s">
        <v>24</v>
      </c>
    </row>
    <row r="5" customFormat="false" ht="15" hidden="false" customHeight="false" outlineLevel="0" collapsed="false">
      <c r="C5" s="0" t="s">
        <v>27</v>
      </c>
    </row>
    <row r="6" customFormat="false" ht="15" hidden="false" customHeight="false" outlineLevel="0" collapsed="false">
      <c r="C6" s="0" t="s">
        <v>38</v>
      </c>
    </row>
    <row r="7" customFormat="false" ht="15" hidden="false" customHeight="false" outlineLevel="0" collapsed="false">
      <c r="C7" s="0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2020-03-23T08:59:43Z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